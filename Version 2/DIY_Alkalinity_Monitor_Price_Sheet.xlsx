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telegraham/Desktop/files/"/>
    </mc:Choice>
  </mc:AlternateContent>
  <xr:revisionPtr revIDLastSave="0" documentId="13_ncr:1_{A3BC3BA5-E059-C945-BB1A-4A3F9B811B53}" xr6:coauthVersionLast="47" xr6:coauthVersionMax="47" xr10:uidLastSave="{00000000-0000-0000-0000-000000000000}"/>
  <bookViews>
    <workbookView xWindow="0" yWindow="680" windowWidth="16380" windowHeight="8200" tabRatio="500" xr2:uid="{00000000-000D-0000-FFFF-FFFF00000000}"/>
  </bookViews>
  <sheets>
    <sheet name="Price Shee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41" i="1" l="1"/>
  <c r="E41" i="1"/>
  <c r="D41" i="1"/>
  <c r="F40" i="1"/>
  <c r="E40" i="1"/>
  <c r="D40" i="1"/>
  <c r="F39" i="1"/>
  <c r="E39" i="1"/>
  <c r="D39" i="1"/>
  <c r="F38" i="1"/>
  <c r="E38" i="1"/>
  <c r="D38" i="1"/>
  <c r="F35" i="1"/>
  <c r="F34" i="1"/>
  <c r="F33" i="1"/>
  <c r="F32" i="1"/>
  <c r="F31" i="1"/>
  <c r="F29" i="1"/>
  <c r="F28" i="1"/>
  <c r="F27" i="1"/>
  <c r="F26" i="1"/>
  <c r="F25" i="1"/>
  <c r="F24" i="1"/>
  <c r="F22" i="1"/>
  <c r="F21" i="1"/>
  <c r="F20" i="1"/>
  <c r="F19" i="1"/>
  <c r="F18" i="1"/>
  <c r="F17" i="1"/>
  <c r="F15" i="1"/>
  <c r="F14" i="1"/>
  <c r="F13" i="1"/>
  <c r="F12" i="1"/>
  <c r="F11" i="1"/>
  <c r="F10" i="1"/>
  <c r="F9" i="1"/>
  <c r="F8" i="1"/>
  <c r="F7" i="1"/>
  <c r="F6" i="1"/>
  <c r="F5" i="1"/>
  <c r="D42" i="1" l="1"/>
  <c r="D43" i="1" s="1"/>
  <c r="F42" i="1"/>
  <c r="F43" i="1" s="1"/>
  <c r="E42" i="1"/>
  <c r="E43" i="1" s="1"/>
</calcChain>
</file>

<file path=xl/sharedStrings.xml><?xml version="1.0" encoding="utf-8"?>
<sst xmlns="http://schemas.openxmlformats.org/spreadsheetml/2006/main" count="110" uniqueCount="85">
  <si>
    <t>DIY Ratiometric Alkalinity Monitor — Component Price Sheet</t>
  </si>
  <si>
    <t>Qty</t>
  </si>
  <si>
    <t>Item</t>
  </si>
  <si>
    <t>Notes</t>
  </si>
  <si>
    <t>Low ($)</t>
  </si>
  <si>
    <t>High ($)</t>
  </si>
  <si>
    <t>Subtotal (mid)</t>
  </si>
  <si>
    <t>ELECTRONICS</t>
  </si>
  <si>
    <t>1</t>
  </si>
  <si>
    <t>ESP32 DevKit C (38-pin)</t>
  </si>
  <si>
    <t>Espressif or clone. Must be 38-pin standard pinout. Do not buy the 30-pin variant.</t>
  </si>
  <si>
    <t>Atlas Scientific EZO-pH Circuit</t>
  </si>
  <si>
    <t>Isolated version (EZO-pH). Cheap alternatives produce unusable noise.</t>
  </si>
  <si>
    <t>Atlas EZO Isolated Carrier Board</t>
  </si>
  <si>
    <t>Part: EZO-PMP-ISO. Mandatory — eliminates pump motor noise from pH readings.</t>
  </si>
  <si>
    <t>Lab-grade double-junction pH probe</t>
  </si>
  <si>
    <t>BNC connector, gel-filled, epoxy/Ultem body. Atlas or Hanna HI1083. This is the most critical purchase — do not skimp.</t>
  </si>
  <si>
    <t>DS18B20 waterproof temp probe</t>
  </si>
  <si>
    <t>1-meter stainless steel sheath. 1-Wire digital. Any brand.</t>
  </si>
  <si>
    <t>4-channel relay module, 5V opto-isolated</t>
  </si>
  <si>
    <t>Controls all 4 pumps. Must be opto-isolated. Active-LOW most common — see wiring notes.</t>
  </si>
  <si>
    <t>4.7 kΩ resistor</t>
  </si>
  <si>
    <t>Pullup for DS18B20 data line. Often included in DS18B20 kits.</t>
  </si>
  <si>
    <t>12V 2A DC power supply</t>
  </si>
  <si>
    <t>Powers pumps. Standard barrel connector.</t>
  </si>
  <si>
    <t>5V 1A supply or USB phone charger</t>
  </si>
  <si>
    <t>Powers ESP32.</t>
  </si>
  <si>
    <t>Breadboard or small perfboard</t>
  </si>
  <si>
    <t>For pullup resistor and wiring connections.</t>
  </si>
  <si>
    <t>Jumper wire assortment</t>
  </si>
  <si>
    <t>Male-to-male and male-to-female, 20 cm.</t>
  </si>
  <si>
    <t>PUMPS &amp; FLUIDICS</t>
  </si>
  <si>
    <t>Reversible peristaltic pump, 12V (Pump A)</t>
  </si>
  <si>
    <t>Must run both directions. Kamoer FX-STP or similar. Draws from and returns to reference reservoir.</t>
  </si>
  <si>
    <t>Reversible peristaltic pump, 12V (Pump B)</t>
  </si>
  <si>
    <t>Must run both directions, same as Pump A. Draws tank water in and returns it to the sump after measurement. Kamoer FX-STP or similar.</t>
  </si>
  <si>
    <t>Micro diaphragm air pump</t>
  </si>
  <si>
    <t>5V or 12V. Fine bubbles required. Tetra Whisper or small aquarium air pump.</t>
  </si>
  <si>
    <t>Ceramic fine-bubble airstone</t>
  </si>
  <si>
    <t>Small, fits inside reaction chamber. Pre-soak in RO water before first use.</t>
  </si>
  <si>
    <t>2 m</t>
  </si>
  <si>
    <t>Silicone tubing, 3 mm ID</t>
  </si>
  <si>
    <t>Food-safe, peristaltic-pump compatible. Buy extra for calibration runs.</t>
  </si>
  <si>
    <t>4</t>
  </si>
  <si>
    <t>Barbed fittings &amp; check valves</t>
  </si>
  <si>
    <t>Prevents back-siphoning. Critical if sump is above the chamber.</t>
  </si>
  <si>
    <t>CONTAINERS &amp; HARDWARE</t>
  </si>
  <si>
    <t>Reference reservoir bottle</t>
  </si>
  <si>
    <t>500–1000 mL HDPE, wide-mouth. Requires three cap ports: Pump A tubing, PTFE vent plug, and one spare. Nalgene or equivalent.</t>
  </si>
  <si>
    <t>2</t>
  </si>
  <si>
    <t>PTFE hydrophobic membrane vent plug</t>
  </si>
  <si>
    <t>Polytetrafluoroethylene membrane vent for reservoir cap. Allows pressure equalization without liquid evaporation. CO₂ passing through does NOT affect alkalinity — TA is conserved. One installed, one spare. Lab supply or aquarium store.</t>
  </si>
  <si>
    <t>Reaction chamber / measurement cell</t>
  </si>
  <si>
    <t>40–60 mL. Clear acrylic tube + end caps, or 3D-printed PETG. Needs ports for pH probe, temp probe, airline, sample in, drain out.</t>
  </si>
  <si>
    <t>Electronics enclosure</t>
  </si>
  <si>
    <t>ABS project box. Weatherproof if near sump.</t>
  </si>
  <si>
    <t>Bulkhead fittings, 1/4" or 3/8"</t>
  </si>
  <si>
    <t>Seals tubing penetrations into reservoir and chamber walls.</t>
  </si>
  <si>
    <t>Misc: zip ties, sealant, cable clips</t>
  </si>
  <si>
    <t>Mounting, waterproofing, cable management.</t>
  </si>
  <si>
    <t>PHYSICAL BUILD (NOT INCLUDED ABOVE)</t>
  </si>
  <si>
    <t>—</t>
  </si>
  <si>
    <t>Fabrication — reaction chamber ports</t>
  </si>
  <si>
    <t>Drilling and tapping probe/tube ports into acrylic or PETG. DIY: ~$0 if you own a drill. Professional shop: variable.</t>
  </si>
  <si>
    <t>3D printing — reaction chamber shell</t>
  </si>
  <si>
    <t>If outsourcing. JLCPCB or local shop. DIY with own printer: filament ~$2.</t>
  </si>
  <si>
    <t>Solder, heat shrink, connectors</t>
  </si>
  <si>
    <t>Misc electronics consumables for wiring the relay module and probe connections.</t>
  </si>
  <si>
    <t>Step drill bits for enclosure cutouts</t>
  </si>
  <si>
    <t>For probe glands, cable glands, and power entry in the electronics box.</t>
  </si>
  <si>
    <t>Drip tray</t>
  </si>
  <si>
    <t>Under all fluidic components. Tupperware or custom-cut acrylic sheet.</t>
  </si>
  <si>
    <t>SUMMARY</t>
  </si>
  <si>
    <t>Mid ($)</t>
  </si>
  <si>
    <t>Electronics</t>
  </si>
  <si>
    <t>Pumps &amp; Fluidics</t>
  </si>
  <si>
    <t>Containers &amp; Hardware</t>
  </si>
  <si>
    <t>Physical Build (additional)</t>
  </si>
  <si>
    <t>COMPONENTS TOTAL</t>
  </si>
  <si>
    <t>ALL-IN ESTIMATE (incl. physical build)</t>
  </si>
  <si>
    <t>⚠  pH probe is the most critical purchase. A cheap probe makes the device useless — the ΔpH signal is only 0.02 pH per 0.5 dKH change.</t>
  </si>
  <si>
    <t>⚠  Physical build costs assume DIY fabrication. Professional machining or outsourced 3D printing adds cost not captured above.</t>
  </si>
  <si>
    <t>ℹ  Prices are approximate US retail (2024–2025). Amazon, Digikey, Atlas Scientific, and BRS are the primary sources.</t>
  </si>
  <si>
    <t>ℹ  Tools not included: soldering iron, drill, multimeter, wire strippers. Add ~$50–$100 if starting from scratch.</t>
  </si>
  <si>
    <t>TelegrahamTested  •  Firmware v2.2  •  All prices approximate US 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</si>
</sst>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1A6B6B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i/>
      <sz val="9"/>
      <color rgb="FF444444"/>
      <name val="Arial"/>
      <charset val="1"/>
    </font>
    <font>
      <b/>
      <sz val="11"/>
      <color rgb="FFFFFFFF"/>
      <name val="Arial"/>
      <charset val="1"/>
    </font>
    <font>
      <b/>
      <i/>
      <sz val="10"/>
      <color rgb="FF000000"/>
      <name val="Arial"/>
      <charset val="1"/>
    </font>
    <font>
      <i/>
      <sz val="9"/>
      <color rgb="FF000000"/>
      <name val="Arial"/>
      <charset val="1"/>
    </font>
    <font>
      <i/>
      <sz val="10"/>
      <color rgb="FF1A6B6B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A6B6B"/>
        <bgColor rgb="FF008080"/>
      </patternFill>
    </fill>
    <fill>
      <patternFill patternType="solid">
        <fgColor rgb="FFE6F4F4"/>
        <bgColor rgb="FFF5F5F5"/>
      </patternFill>
    </fill>
    <fill>
      <patternFill patternType="solid">
        <fgColor rgb="FF2E8B8B"/>
        <bgColor rgb="FF00808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6F4F4"/>
      </patternFill>
    </fill>
    <fill>
      <patternFill patternType="solid">
        <fgColor rgb="FFE07000"/>
        <bgColor rgb="FFFF9900"/>
      </patternFill>
    </fill>
    <fill>
      <patternFill patternType="solid">
        <fgColor rgb="FFFFF3CD"/>
        <bgColor rgb="FFFFF8E1"/>
      </patternFill>
    </fill>
    <fill>
      <patternFill patternType="solid">
        <fgColor rgb="FFFFF8E1"/>
        <bgColor rgb="FFFFF3CD"/>
      </patternFill>
    </fill>
  </fills>
  <borders count="6">
    <border>
      <left/>
      <right/>
      <top/>
      <bottom/>
      <diagonal/>
    </border>
    <border>
      <left style="thin">
        <color rgb="FF1A6B6B"/>
      </left>
      <right style="thin">
        <color rgb="FF1A6B6B"/>
      </right>
      <top style="thin">
        <color rgb="FF1A6B6B"/>
      </top>
      <bottom style="thin">
        <color rgb="FF1A6B6B"/>
      </bottom>
      <diagonal/>
    </border>
    <border>
      <left style="thin">
        <color rgb="FF1A6B6B"/>
      </left>
      <right/>
      <top style="thin">
        <color rgb="FF1A6B6B"/>
      </top>
      <bottom style="thin">
        <color rgb="FF1A6B6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9" fillId="3" borderId="5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164" fontId="4" fillId="5" borderId="3" xfId="0" applyNumberFormat="1" applyFont="1" applyFill="1" applyBorder="1" applyAlignment="1">
      <alignment horizontal="righ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164" fontId="4" fillId="6" borderId="3" xfId="0" applyNumberFormat="1" applyFont="1" applyFill="1" applyBorder="1" applyAlignment="1">
      <alignment horizontal="right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left" vertical="center" wrapText="1"/>
    </xf>
    <xf numFmtId="164" fontId="4" fillId="8" borderId="3" xfId="0" applyNumberFormat="1" applyFont="1" applyFill="1" applyBorder="1" applyAlignment="1">
      <alignment horizontal="right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left" vertical="center" wrapText="1"/>
    </xf>
    <xf numFmtId="0" fontId="6" fillId="9" borderId="3" xfId="0" applyFont="1" applyFill="1" applyBorder="1" applyAlignment="1">
      <alignment horizontal="left" vertical="center" wrapText="1"/>
    </xf>
    <xf numFmtId="164" fontId="4" fillId="9" borderId="3" xfId="0" applyNumberFormat="1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center" vertical="center" wrapText="1"/>
    </xf>
    <xf numFmtId="164" fontId="5" fillId="5" borderId="3" xfId="0" applyNumberFormat="1" applyFont="1" applyFill="1" applyBorder="1" applyAlignment="1">
      <alignment horizontal="right" vertical="center" wrapText="1"/>
    </xf>
    <xf numFmtId="164" fontId="5" fillId="8" borderId="3" xfId="0" applyNumberFormat="1" applyFont="1" applyFill="1" applyBorder="1" applyAlignment="1">
      <alignment horizontal="right" vertical="center" wrapText="1"/>
    </xf>
    <xf numFmtId="164" fontId="7" fillId="2" borderId="1" xfId="0" applyNumberFormat="1" applyFont="1" applyFill="1" applyBorder="1" applyAlignment="1">
      <alignment horizontal="right" vertical="center" wrapText="1"/>
    </xf>
    <xf numFmtId="164" fontId="7" fillId="4" borderId="1" xfId="0" applyNumberFormat="1" applyFont="1" applyFill="1" applyBorder="1" applyAlignment="1">
      <alignment horizontal="right" vertical="center" wrapText="1"/>
    </xf>
    <xf numFmtId="0" fontId="10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6B"/>
      <rgbColor rgb="FFBBBBBB"/>
      <rgbColor rgb="FF808080"/>
      <rgbColor rgb="FF9999FF"/>
      <rgbColor rgb="FF993366"/>
      <rgbColor rgb="FFFFF8E1"/>
      <rgbColor rgb="FFE6F4F4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3CD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000"/>
      <rgbColor rgb="FF666699"/>
      <rgbColor rgb="FF969696"/>
      <rgbColor rgb="FF003366"/>
      <rgbColor rgb="FF2E8B8B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zoomScaleNormal="100" workbookViewId="0">
      <pane ySplit="3" topLeftCell="A4" activePane="bottomLeft" state="frozen"/>
      <selection pane="bottomLeft" activeCell="A2" sqref="A2:F2"/>
    </sheetView>
  </sheetViews>
  <sheetFormatPr baseColWidth="10" defaultColWidth="8.6640625" defaultRowHeight="15" x14ac:dyDescent="0.2"/>
  <cols>
    <col min="1" max="1" width="6" customWidth="1"/>
    <col min="2" max="2" width="32" customWidth="1"/>
    <col min="3" max="3" width="38" customWidth="1"/>
    <col min="4" max="5" width="13" customWidth="1"/>
    <col min="6" max="6" width="18" customWidth="1"/>
  </cols>
  <sheetData>
    <row r="1" spans="1:6" ht="36" customHeight="1" x14ac:dyDescent="0.2">
      <c r="A1" s="11" t="s">
        <v>0</v>
      </c>
      <c r="B1" s="11"/>
      <c r="C1" s="11"/>
      <c r="D1" s="11"/>
      <c r="E1" s="11"/>
      <c r="F1" s="11"/>
    </row>
    <row r="2" spans="1:6" ht="19.5" customHeight="1" x14ac:dyDescent="0.2">
      <c r="A2" s="34" t="s">
        <v>84</v>
      </c>
      <c r="B2" s="10"/>
      <c r="C2" s="10"/>
      <c r="D2" s="10"/>
      <c r="E2" s="10"/>
      <c r="F2" s="10"/>
    </row>
    <row r="3" spans="1:6" ht="21.75" customHeight="1" x14ac:dyDescent="0.2">
      <c r="A3" s="12" t="s">
        <v>1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6</v>
      </c>
    </row>
    <row r="4" spans="1:6" ht="18" customHeight="1" x14ac:dyDescent="0.2">
      <c r="A4" s="9" t="s">
        <v>7</v>
      </c>
      <c r="B4" s="9"/>
      <c r="C4" s="9"/>
      <c r="D4" s="9"/>
      <c r="E4" s="9"/>
      <c r="F4" s="9"/>
    </row>
    <row r="5" spans="1:6" ht="30" customHeight="1" x14ac:dyDescent="0.2">
      <c r="A5" s="13" t="s">
        <v>8</v>
      </c>
      <c r="B5" s="14" t="s">
        <v>9</v>
      </c>
      <c r="C5" s="15" t="s">
        <v>10</v>
      </c>
      <c r="D5" s="16">
        <v>8</v>
      </c>
      <c r="E5" s="16">
        <v>12</v>
      </c>
      <c r="F5" s="16">
        <f t="shared" ref="F5:F15" si="0">(D5+E5)/2</f>
        <v>10</v>
      </c>
    </row>
    <row r="6" spans="1:6" ht="21.75" customHeight="1" x14ac:dyDescent="0.2">
      <c r="A6" s="17" t="s">
        <v>8</v>
      </c>
      <c r="B6" s="18" t="s">
        <v>11</v>
      </c>
      <c r="C6" s="19" t="s">
        <v>12</v>
      </c>
      <c r="D6" s="20">
        <v>43</v>
      </c>
      <c r="E6" s="20">
        <v>47</v>
      </c>
      <c r="F6" s="20">
        <f t="shared" si="0"/>
        <v>45</v>
      </c>
    </row>
    <row r="7" spans="1:6" ht="21.75" customHeight="1" x14ac:dyDescent="0.2">
      <c r="A7" s="13" t="s">
        <v>8</v>
      </c>
      <c r="B7" s="14" t="s">
        <v>13</v>
      </c>
      <c r="C7" s="15" t="s">
        <v>14</v>
      </c>
      <c r="D7" s="16">
        <v>23</v>
      </c>
      <c r="E7" s="16">
        <v>27</v>
      </c>
      <c r="F7" s="16">
        <f t="shared" si="0"/>
        <v>25</v>
      </c>
    </row>
    <row r="8" spans="1:6" ht="30" customHeight="1" x14ac:dyDescent="0.2">
      <c r="A8" s="17" t="s">
        <v>8</v>
      </c>
      <c r="B8" s="18" t="s">
        <v>15</v>
      </c>
      <c r="C8" s="19" t="s">
        <v>16</v>
      </c>
      <c r="D8" s="20">
        <v>60</v>
      </c>
      <c r="E8" s="20">
        <v>130</v>
      </c>
      <c r="F8" s="20">
        <f t="shared" si="0"/>
        <v>95</v>
      </c>
    </row>
    <row r="9" spans="1:6" ht="21.75" customHeight="1" x14ac:dyDescent="0.2">
      <c r="A9" s="13" t="s">
        <v>8</v>
      </c>
      <c r="B9" s="14" t="s">
        <v>17</v>
      </c>
      <c r="C9" s="15" t="s">
        <v>18</v>
      </c>
      <c r="D9" s="16">
        <v>5</v>
      </c>
      <c r="E9" s="16">
        <v>8</v>
      </c>
      <c r="F9" s="16">
        <f t="shared" si="0"/>
        <v>6.5</v>
      </c>
    </row>
    <row r="10" spans="1:6" ht="30" customHeight="1" x14ac:dyDescent="0.2">
      <c r="A10" s="17" t="s">
        <v>8</v>
      </c>
      <c r="B10" s="18" t="s">
        <v>19</v>
      </c>
      <c r="C10" s="19" t="s">
        <v>20</v>
      </c>
      <c r="D10" s="20">
        <v>7</v>
      </c>
      <c r="E10" s="20">
        <v>10</v>
      </c>
      <c r="F10" s="20">
        <f t="shared" si="0"/>
        <v>8.5</v>
      </c>
    </row>
    <row r="11" spans="1:6" ht="21.75" customHeight="1" x14ac:dyDescent="0.2">
      <c r="A11" s="13" t="s">
        <v>8</v>
      </c>
      <c r="B11" s="14" t="s">
        <v>21</v>
      </c>
      <c r="C11" s="15" t="s">
        <v>22</v>
      </c>
      <c r="D11" s="16">
        <v>0.5</v>
      </c>
      <c r="E11" s="16">
        <v>1</v>
      </c>
      <c r="F11" s="16">
        <f t="shared" si="0"/>
        <v>0.75</v>
      </c>
    </row>
    <row r="12" spans="1:6" ht="21.75" customHeight="1" x14ac:dyDescent="0.2">
      <c r="A12" s="17" t="s">
        <v>8</v>
      </c>
      <c r="B12" s="18" t="s">
        <v>23</v>
      </c>
      <c r="C12" s="19" t="s">
        <v>24</v>
      </c>
      <c r="D12" s="20">
        <v>8</v>
      </c>
      <c r="E12" s="20">
        <v>12</v>
      </c>
      <c r="F12" s="20">
        <f t="shared" si="0"/>
        <v>10</v>
      </c>
    </row>
    <row r="13" spans="1:6" ht="21.75" customHeight="1" x14ac:dyDescent="0.2">
      <c r="A13" s="13" t="s">
        <v>8</v>
      </c>
      <c r="B13" s="14" t="s">
        <v>25</v>
      </c>
      <c r="C13" s="15" t="s">
        <v>26</v>
      </c>
      <c r="D13" s="16">
        <v>5</v>
      </c>
      <c r="E13" s="16">
        <v>8</v>
      </c>
      <c r="F13" s="16">
        <f t="shared" si="0"/>
        <v>6.5</v>
      </c>
    </row>
    <row r="14" spans="1:6" ht="21.75" customHeight="1" x14ac:dyDescent="0.2">
      <c r="A14" s="17" t="s">
        <v>8</v>
      </c>
      <c r="B14" s="18" t="s">
        <v>27</v>
      </c>
      <c r="C14" s="19" t="s">
        <v>28</v>
      </c>
      <c r="D14" s="20">
        <v>3</v>
      </c>
      <c r="E14" s="20">
        <v>6</v>
      </c>
      <c r="F14" s="20">
        <f t="shared" si="0"/>
        <v>4.5</v>
      </c>
    </row>
    <row r="15" spans="1:6" ht="21.75" customHeight="1" x14ac:dyDescent="0.2">
      <c r="A15" s="13" t="s">
        <v>8</v>
      </c>
      <c r="B15" s="14" t="s">
        <v>29</v>
      </c>
      <c r="C15" s="15" t="s">
        <v>30</v>
      </c>
      <c r="D15" s="16">
        <v>5</v>
      </c>
      <c r="E15" s="16">
        <v>8</v>
      </c>
      <c r="F15" s="16">
        <f t="shared" si="0"/>
        <v>6.5</v>
      </c>
    </row>
    <row r="16" spans="1:6" ht="18" customHeight="1" x14ac:dyDescent="0.2">
      <c r="A16" s="9" t="s">
        <v>31</v>
      </c>
      <c r="B16" s="9"/>
      <c r="C16" s="9"/>
      <c r="D16" s="9"/>
      <c r="E16" s="9"/>
      <c r="F16" s="9"/>
    </row>
    <row r="17" spans="1:6" ht="30" customHeight="1" x14ac:dyDescent="0.2">
      <c r="A17" s="13" t="s">
        <v>8</v>
      </c>
      <c r="B17" s="14" t="s">
        <v>32</v>
      </c>
      <c r="C17" s="15" t="s">
        <v>33</v>
      </c>
      <c r="D17" s="16">
        <v>35</v>
      </c>
      <c r="E17" s="16">
        <v>60</v>
      </c>
      <c r="F17" s="16">
        <f t="shared" ref="F17:F22" si="1">(D17+E17)/2</f>
        <v>47.5</v>
      </c>
    </row>
    <row r="18" spans="1:6" ht="30" customHeight="1" x14ac:dyDescent="0.2">
      <c r="A18" s="17" t="s">
        <v>8</v>
      </c>
      <c r="B18" s="18" t="s">
        <v>34</v>
      </c>
      <c r="C18" s="19" t="s">
        <v>35</v>
      </c>
      <c r="D18" s="20">
        <v>35</v>
      </c>
      <c r="E18" s="20">
        <v>60</v>
      </c>
      <c r="F18" s="20">
        <f t="shared" si="1"/>
        <v>47.5</v>
      </c>
    </row>
    <row r="19" spans="1:6" ht="21.75" customHeight="1" x14ac:dyDescent="0.2">
      <c r="A19" s="13" t="s">
        <v>8</v>
      </c>
      <c r="B19" s="14" t="s">
        <v>36</v>
      </c>
      <c r="C19" s="15" t="s">
        <v>37</v>
      </c>
      <c r="D19" s="16">
        <v>8</v>
      </c>
      <c r="E19" s="16">
        <v>12</v>
      </c>
      <c r="F19" s="16">
        <f t="shared" si="1"/>
        <v>10</v>
      </c>
    </row>
    <row r="20" spans="1:6" ht="21.75" customHeight="1" x14ac:dyDescent="0.2">
      <c r="A20" s="17" t="s">
        <v>8</v>
      </c>
      <c r="B20" s="18" t="s">
        <v>38</v>
      </c>
      <c r="C20" s="19" t="s">
        <v>39</v>
      </c>
      <c r="D20" s="20">
        <v>2</v>
      </c>
      <c r="E20" s="20">
        <v>5</v>
      </c>
      <c r="F20" s="20">
        <f t="shared" si="1"/>
        <v>3.5</v>
      </c>
    </row>
    <row r="21" spans="1:6" ht="21.75" customHeight="1" x14ac:dyDescent="0.2">
      <c r="A21" s="13" t="s">
        <v>40</v>
      </c>
      <c r="B21" s="14" t="s">
        <v>41</v>
      </c>
      <c r="C21" s="15" t="s">
        <v>42</v>
      </c>
      <c r="D21" s="16">
        <v>6</v>
      </c>
      <c r="E21" s="16">
        <v>10</v>
      </c>
      <c r="F21" s="16">
        <f t="shared" si="1"/>
        <v>8</v>
      </c>
    </row>
    <row r="22" spans="1:6" ht="21.75" customHeight="1" x14ac:dyDescent="0.2">
      <c r="A22" s="17" t="s">
        <v>43</v>
      </c>
      <c r="B22" s="18" t="s">
        <v>44</v>
      </c>
      <c r="C22" s="19" t="s">
        <v>45</v>
      </c>
      <c r="D22" s="20">
        <v>8</v>
      </c>
      <c r="E22" s="20">
        <v>12</v>
      </c>
      <c r="F22" s="20">
        <f t="shared" si="1"/>
        <v>10</v>
      </c>
    </row>
    <row r="23" spans="1:6" ht="18" customHeight="1" x14ac:dyDescent="0.2">
      <c r="A23" s="9" t="s">
        <v>46</v>
      </c>
      <c r="B23" s="9"/>
      <c r="C23" s="9"/>
      <c r="D23" s="9"/>
      <c r="E23" s="9"/>
      <c r="F23" s="9"/>
    </row>
    <row r="24" spans="1:6" ht="30" customHeight="1" x14ac:dyDescent="0.2">
      <c r="A24" s="13" t="s">
        <v>8</v>
      </c>
      <c r="B24" s="14" t="s">
        <v>47</v>
      </c>
      <c r="C24" s="15" t="s">
        <v>48</v>
      </c>
      <c r="D24" s="16">
        <v>12</v>
      </c>
      <c r="E24" s="16">
        <v>30</v>
      </c>
      <c r="F24" s="16">
        <f t="shared" ref="F24:F29" si="2">(D24+E24)/2</f>
        <v>21</v>
      </c>
    </row>
    <row r="25" spans="1:6" ht="30" customHeight="1" x14ac:dyDescent="0.2">
      <c r="A25" s="17" t="s">
        <v>49</v>
      </c>
      <c r="B25" s="18" t="s">
        <v>50</v>
      </c>
      <c r="C25" s="19" t="s">
        <v>51</v>
      </c>
      <c r="D25" s="20">
        <v>2</v>
      </c>
      <c r="E25" s="20">
        <v>8</v>
      </c>
      <c r="F25" s="20">
        <f t="shared" si="2"/>
        <v>5</v>
      </c>
    </row>
    <row r="26" spans="1:6" ht="30" customHeight="1" x14ac:dyDescent="0.2">
      <c r="A26" s="13" t="s">
        <v>8</v>
      </c>
      <c r="B26" s="14" t="s">
        <v>52</v>
      </c>
      <c r="C26" s="15" t="s">
        <v>53</v>
      </c>
      <c r="D26" s="16">
        <v>20</v>
      </c>
      <c r="E26" s="16">
        <v>50</v>
      </c>
      <c r="F26" s="16">
        <f t="shared" si="2"/>
        <v>35</v>
      </c>
    </row>
    <row r="27" spans="1:6" ht="21.75" customHeight="1" x14ac:dyDescent="0.2">
      <c r="A27" s="17" t="s">
        <v>8</v>
      </c>
      <c r="B27" s="18" t="s">
        <v>54</v>
      </c>
      <c r="C27" s="19" t="s">
        <v>55</v>
      </c>
      <c r="D27" s="20">
        <v>10</v>
      </c>
      <c r="E27" s="20">
        <v>15</v>
      </c>
      <c r="F27" s="20">
        <f t="shared" si="2"/>
        <v>12.5</v>
      </c>
    </row>
    <row r="28" spans="1:6" ht="21.75" customHeight="1" x14ac:dyDescent="0.2">
      <c r="A28" s="13" t="s">
        <v>8</v>
      </c>
      <c r="B28" s="14" t="s">
        <v>56</v>
      </c>
      <c r="C28" s="15" t="s">
        <v>57</v>
      </c>
      <c r="D28" s="16">
        <v>8</v>
      </c>
      <c r="E28" s="16">
        <v>12</v>
      </c>
      <c r="F28" s="16">
        <f t="shared" si="2"/>
        <v>10</v>
      </c>
    </row>
    <row r="29" spans="1:6" ht="21.75" customHeight="1" x14ac:dyDescent="0.2">
      <c r="A29" s="17" t="s">
        <v>8</v>
      </c>
      <c r="B29" s="18" t="s">
        <v>58</v>
      </c>
      <c r="C29" s="19" t="s">
        <v>59</v>
      </c>
      <c r="D29" s="20">
        <v>6</v>
      </c>
      <c r="E29" s="20">
        <v>10</v>
      </c>
      <c r="F29" s="20">
        <f t="shared" si="2"/>
        <v>8</v>
      </c>
    </row>
    <row r="30" spans="1:6" ht="18" customHeight="1" x14ac:dyDescent="0.2">
      <c r="A30" s="8" t="s">
        <v>60</v>
      </c>
      <c r="B30" s="8"/>
      <c r="C30" s="8"/>
      <c r="D30" s="8"/>
      <c r="E30" s="8"/>
      <c r="F30" s="8"/>
    </row>
    <row r="31" spans="1:6" ht="30" customHeight="1" x14ac:dyDescent="0.2">
      <c r="A31" s="21" t="s">
        <v>61</v>
      </c>
      <c r="B31" s="22" t="s">
        <v>62</v>
      </c>
      <c r="C31" s="23" t="s">
        <v>63</v>
      </c>
      <c r="D31" s="24">
        <v>0</v>
      </c>
      <c r="E31" s="24">
        <v>60</v>
      </c>
      <c r="F31" s="24">
        <f>(D31+E31)/2</f>
        <v>30</v>
      </c>
    </row>
    <row r="32" spans="1:6" ht="21.75" customHeight="1" x14ac:dyDescent="0.2">
      <c r="A32" s="25" t="s">
        <v>61</v>
      </c>
      <c r="B32" s="26" t="s">
        <v>64</v>
      </c>
      <c r="C32" s="27" t="s">
        <v>65</v>
      </c>
      <c r="D32" s="28">
        <v>0</v>
      </c>
      <c r="E32" s="28">
        <v>40</v>
      </c>
      <c r="F32" s="28">
        <f>(D32+E32)/2</f>
        <v>20</v>
      </c>
    </row>
    <row r="33" spans="1:6" ht="21.75" customHeight="1" x14ac:dyDescent="0.2">
      <c r="A33" s="21" t="s">
        <v>61</v>
      </c>
      <c r="B33" s="22" t="s">
        <v>66</v>
      </c>
      <c r="C33" s="23" t="s">
        <v>67</v>
      </c>
      <c r="D33" s="24">
        <v>5</v>
      </c>
      <c r="E33" s="24">
        <v>15</v>
      </c>
      <c r="F33" s="24">
        <f>(D33+E33)/2</f>
        <v>10</v>
      </c>
    </row>
    <row r="34" spans="1:6" ht="21.75" customHeight="1" x14ac:dyDescent="0.2">
      <c r="A34" s="25" t="s">
        <v>61</v>
      </c>
      <c r="B34" s="26" t="s">
        <v>68</v>
      </c>
      <c r="C34" s="27" t="s">
        <v>69</v>
      </c>
      <c r="D34" s="28">
        <v>0</v>
      </c>
      <c r="E34" s="28">
        <v>20</v>
      </c>
      <c r="F34" s="28">
        <f>(D34+E34)/2</f>
        <v>10</v>
      </c>
    </row>
    <row r="35" spans="1:6" ht="21.75" customHeight="1" x14ac:dyDescent="0.2">
      <c r="A35" s="21" t="s">
        <v>61</v>
      </c>
      <c r="B35" s="22" t="s">
        <v>70</v>
      </c>
      <c r="C35" s="23" t="s">
        <v>71</v>
      </c>
      <c r="D35" s="24">
        <v>5</v>
      </c>
      <c r="E35" s="24">
        <v>20</v>
      </c>
      <c r="F35" s="24">
        <f>(D35+E35)/2</f>
        <v>12.5</v>
      </c>
    </row>
    <row r="37" spans="1:6" ht="19.5" customHeight="1" x14ac:dyDescent="0.2">
      <c r="A37" s="7" t="s">
        <v>72</v>
      </c>
      <c r="B37" s="7"/>
      <c r="C37" s="7"/>
      <c r="D37" s="29" t="s">
        <v>4</v>
      </c>
      <c r="E37" s="29" t="s">
        <v>5</v>
      </c>
      <c r="F37" s="29" t="s">
        <v>73</v>
      </c>
    </row>
    <row r="38" spans="1:6" ht="18" customHeight="1" x14ac:dyDescent="0.2">
      <c r="A38" s="6" t="s">
        <v>74</v>
      </c>
      <c r="B38" s="6"/>
      <c r="C38" s="6"/>
      <c r="D38" s="30">
        <f>SUM(D5:D15)</f>
        <v>167.5</v>
      </c>
      <c r="E38" s="30">
        <f>SUM(E5:E15)</f>
        <v>269</v>
      </c>
      <c r="F38" s="30">
        <f>SUM(F5:F15)</f>
        <v>218.25</v>
      </c>
    </row>
    <row r="39" spans="1:6" ht="18" customHeight="1" x14ac:dyDescent="0.2">
      <c r="A39" s="6" t="s">
        <v>75</v>
      </c>
      <c r="B39" s="6"/>
      <c r="C39" s="6"/>
      <c r="D39" s="30">
        <f>SUM(D17:D22)</f>
        <v>94</v>
      </c>
      <c r="E39" s="30">
        <f>SUM(E17:E22)</f>
        <v>159</v>
      </c>
      <c r="F39" s="30">
        <f>SUM(F17:F22)</f>
        <v>126.5</v>
      </c>
    </row>
    <row r="40" spans="1:6" ht="18" customHeight="1" x14ac:dyDescent="0.2">
      <c r="A40" s="6" t="s">
        <v>76</v>
      </c>
      <c r="B40" s="6"/>
      <c r="C40" s="6"/>
      <c r="D40" s="30">
        <f>SUM(D24:D29)</f>
        <v>58</v>
      </c>
      <c r="E40" s="30">
        <f>SUM(E24:E29)</f>
        <v>125</v>
      </c>
      <c r="F40" s="30">
        <f>SUM(F24:F29)</f>
        <v>91.5</v>
      </c>
    </row>
    <row r="41" spans="1:6" ht="18" customHeight="1" x14ac:dyDescent="0.2">
      <c r="A41" s="5" t="s">
        <v>77</v>
      </c>
      <c r="B41" s="5"/>
      <c r="C41" s="5"/>
      <c r="D41" s="31">
        <f>SUM(D31:D35)</f>
        <v>10</v>
      </c>
      <c r="E41" s="31">
        <f>SUM(E31:E35)</f>
        <v>155</v>
      </c>
      <c r="F41" s="31">
        <f>SUM(F31:F35)</f>
        <v>82.5</v>
      </c>
    </row>
    <row r="42" spans="1:6" ht="21.75" customHeight="1" x14ac:dyDescent="0.2">
      <c r="A42" s="4" t="s">
        <v>78</v>
      </c>
      <c r="B42" s="4"/>
      <c r="C42" s="4"/>
      <c r="D42" s="32">
        <f>D38+D39+D40</f>
        <v>319.5</v>
      </c>
      <c r="E42" s="32">
        <f>E38+E39+E40</f>
        <v>553</v>
      </c>
      <c r="F42" s="32">
        <f>F38+F39+F40</f>
        <v>436.25</v>
      </c>
    </row>
    <row r="43" spans="1:6" ht="21.75" customHeight="1" x14ac:dyDescent="0.2">
      <c r="A43" s="3" t="s">
        <v>79</v>
      </c>
      <c r="B43" s="3"/>
      <c r="C43" s="3"/>
      <c r="D43" s="33">
        <f>D42+D41</f>
        <v>329.5</v>
      </c>
      <c r="E43" s="33">
        <f>E42+E41</f>
        <v>708</v>
      </c>
      <c r="F43" s="33">
        <f>F42+F41</f>
        <v>518.75</v>
      </c>
    </row>
    <row r="45" spans="1:6" ht="27.75" customHeight="1" x14ac:dyDescent="0.2">
      <c r="A45" s="2" t="s">
        <v>80</v>
      </c>
      <c r="B45" s="2"/>
      <c r="C45" s="2"/>
      <c r="D45" s="2"/>
      <c r="E45" s="2"/>
      <c r="F45" s="2"/>
    </row>
    <row r="46" spans="1:6" ht="27.75" customHeight="1" x14ac:dyDescent="0.2">
      <c r="A46" s="2" t="s">
        <v>81</v>
      </c>
      <c r="B46" s="2"/>
      <c r="C46" s="2"/>
      <c r="D46" s="2"/>
      <c r="E46" s="2"/>
      <c r="F46" s="2"/>
    </row>
    <row r="47" spans="1:6" ht="27.75" customHeight="1" x14ac:dyDescent="0.2">
      <c r="A47" s="1" t="s">
        <v>82</v>
      </c>
      <c r="B47" s="1"/>
      <c r="C47" s="1"/>
      <c r="D47" s="1"/>
      <c r="E47" s="1"/>
      <c r="F47" s="1"/>
    </row>
    <row r="48" spans="1:6" ht="27.75" customHeight="1" x14ac:dyDescent="0.2">
      <c r="A48" s="1" t="s">
        <v>83</v>
      </c>
      <c r="B48" s="1"/>
      <c r="C48" s="1"/>
      <c r="D48" s="1"/>
      <c r="E48" s="1"/>
      <c r="F48" s="1"/>
    </row>
  </sheetData>
  <mergeCells count="17">
    <mergeCell ref="A47:F47"/>
    <mergeCell ref="A48:F48"/>
    <mergeCell ref="A41:C41"/>
    <mergeCell ref="A42:C42"/>
    <mergeCell ref="A43:C43"/>
    <mergeCell ref="A45:F45"/>
    <mergeCell ref="A46:F46"/>
    <mergeCell ref="A30:F30"/>
    <mergeCell ref="A37:C37"/>
    <mergeCell ref="A38:C38"/>
    <mergeCell ref="A39:C39"/>
    <mergeCell ref="A40:C40"/>
    <mergeCell ref="A1:F1"/>
    <mergeCell ref="A2:F2"/>
    <mergeCell ref="A4:F4"/>
    <mergeCell ref="A16:F16"/>
    <mergeCell ref="A23:F2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James Graham</cp:lastModifiedBy>
  <cp:revision>0</cp:revision>
  <dcterms:created xsi:type="dcterms:W3CDTF">2026-05-24T19:33:25Z</dcterms:created>
  <dcterms:modified xsi:type="dcterms:W3CDTF">2026-05-24T19:59:48Z</dcterms:modified>
  <dc:language>en-US</dc:language>
</cp:coreProperties>
</file>