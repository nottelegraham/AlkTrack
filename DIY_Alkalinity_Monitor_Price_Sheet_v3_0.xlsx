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a73bc3849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Sheet" sheetId="1" r:id="Rc7157d9eb085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8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color rgb="0F766E"/>
      <x:name val="Carlito"/>
    </x:font>
    <x:font>
      <x:sz val="11"/>
      <x:color rgb="9A3412"/>
      <x:name val="Carlito"/>
    </x:font>
    <x:font>
      <x:i/>
      <x:sz val="10"/>
      <x:color rgb="374151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15E59"/>
      </x:patternFill>
    </x:fill>
    <x:fill>
      <x:patternFill patternType="solid">
        <x:fgColor rgb="CCFBF1"/>
      </x:patternFill>
    </x:fill>
    <x:fill>
      <x:patternFill patternType="solid">
        <x:fgColor rgb="FFF7ED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200" fontId="7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e0dded44541d1" /><Relationship Type="http://schemas.openxmlformats.org/officeDocument/2006/relationships/theme" Target="/xl/theme/theme1.xml" Id="R8f41110e4fe74ee6" /><Relationship Type="http://schemas.openxmlformats.org/officeDocument/2006/relationships/sharedStrings" Target="/xl/sharedStrings.xml" Id="Rc63e8b92e0914046" /><Relationship Type="http://schemas.openxmlformats.org/officeDocument/2006/relationships/worksheet" Target="/xl/worksheets/sheet1.xml" Id="Rc7157d9eb08545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70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66" t="str">
        <x:v>AlkTrack DIY Alkalinity Monitor — v3.0 Component Price Sheet</x:v>
      </x:c>
      <x:c r="B1" s="46"/>
      <x:c r="C1" s="46"/>
      <x:c r="D1" s="46"/>
      <x:c r="E1" s="46"/>
      <x:c r="F1" s="46"/>
    </x:row>
    <x:row r="2" ht="28" customHeight="1">
      <x:c r="A2" s="69" t="str">
        <x:v>TelegrahamTested • Firmware v3.0 • Dual-mode pH differential + acid titration • Approx. US retail</x:v>
      </x:c>
      <x:c r="B2" s="47"/>
      <x:c r="C2" s="47"/>
      <x:c r="D2" s="47"/>
      <x:c r="E2" s="47"/>
      <x:c r="F2" s="47"/>
    </x:row>
    <x:row r="3">
      <x:c r="A3" s="48" t="str">
        <x:v>Qty</x:v>
      </x:c>
      <x:c r="B3" s="48" t="str">
        <x:v>Item</x:v>
      </x:c>
      <x:c r="C3" s="48" t="str">
        <x:v>Notes</x:v>
      </x:c>
      <x:c r="D3" s="48" t="str">
        <x:v>Low ($)</x:v>
      </x:c>
      <x:c r="E3" s="48" t="str">
        <x:v>High ($)</x:v>
      </x:c>
      <x:c r="F3" s="48" t="str">
        <x:v>Subtotal (mid)</x:v>
      </x:c>
    </x:row>
    <x:row r="4" ht="20" customHeight="1">
      <x:c r="A4" s="49" t="str">
        <x:v>ELECTRONICS</x:v>
      </x:c>
      <x:c r="B4" s="49"/>
      <x:c r="C4" s="49"/>
      <x:c r="D4" s="49"/>
      <x:c r="E4" s="49"/>
      <x:c r="F4" s="49"/>
    </x:row>
    <x:row r="5">
      <x:c r="A5" s="50" t="n">
        <x:v>1</x:v>
      </x:c>
      <x:c r="B5" s="50" t="str">
        <x:v>ESP32 DevKit C (38-pin)</x:v>
      </x:c>
      <x:c r="C5" s="50" t="str">
        <x:v>Espressif or clone. Use 38-pin standard pinout; avoid ESP32 GPIO 6-11.</x:v>
      </x:c>
      <x:c r="D5" s="51" t="n">
        <x:v>8</x:v>
      </x:c>
      <x:c r="E5" s="51" t="n">
        <x:v>12</x:v>
      </x:c>
      <x:c r="F5" s="51" t="n">
        <x:f>(D5+E5)/2*A5</x:f>
        <x:v>10</x:v>
      </x:c>
    </x:row>
    <x:row r="6">
      <x:c r="A6" s="50" t="n">
        <x:v>1</x:v>
      </x:c>
      <x:c r="B6" s="50" t="str">
        <x:v>Atlas Scientific EZO-pH Circuit</x:v>
      </x:c>
      <x:c r="C6" s="50" t="str">
        <x:v>Recommended pH interface. Cheap high-impedance boards often drift/noise.</x:v>
      </x:c>
      <x:c r="D6" s="51" t="n">
        <x:v>43</x:v>
      </x:c>
      <x:c r="E6" s="51" t="n">
        <x:v>47</x:v>
      </x:c>
      <x:c r="F6" s="51" t="n">
        <x:f>(D6+E6)/2*A6</x:f>
        <x:v>45</x:v>
      </x:c>
    </x:row>
    <x:row r="7">
      <x:c r="A7" s="50" t="n">
        <x:v>1</x:v>
      </x:c>
      <x:c r="B7" s="50" t="str">
        <x:v>Atlas EZO isolated carrier board</x:v>
      </x:c>
      <x:c r="C7" s="50" t="str">
        <x:v>Mandatory isolation between pH circuit and pump/driver power.</x:v>
      </x:c>
      <x:c r="D7" s="51" t="n">
        <x:v>23</x:v>
      </x:c>
      <x:c r="E7" s="51" t="n">
        <x:v>27</x:v>
      </x:c>
      <x:c r="F7" s="51" t="n">
        <x:f>(D7+E7)/2*A7</x:f>
        <x:v>25</x:v>
      </x:c>
    </x:row>
    <x:row r="8">
      <x:c r="A8" s="50" t="n">
        <x:v>1</x:v>
      </x:c>
      <x:c r="B8" s="50" t="str">
        <x:v>Lab-grade double-junction pH probe</x:v>
      </x:c>
      <x:c r="C8" s="50" t="str">
        <x:v>BNC, gel-filled, epoxy/Ultem body. Most important purchase.</x:v>
      </x:c>
      <x:c r="D8" s="51" t="n">
        <x:v>60</x:v>
      </x:c>
      <x:c r="E8" s="51" t="n">
        <x:v>130</x:v>
      </x:c>
      <x:c r="F8" s="51" t="n">
        <x:f>(D8+E8)/2*A8</x:f>
        <x:v>95</x:v>
      </x:c>
    </x:row>
    <x:row r="9">
      <x:c r="A9" s="50" t="n">
        <x:v>1</x:v>
      </x:c>
      <x:c r="B9" s="50" t="str">
        <x:v>DS18B20 waterproof temperature probe</x:v>
      </x:c>
      <x:c r="C9" s="50" t="str">
        <x:v>1-wire digital probe, 4.7 kΩ pullup required.</x:v>
      </x:c>
      <x:c r="D9" s="51" t="n">
        <x:v>5</x:v>
      </x:c>
      <x:c r="E9" s="51" t="n">
        <x:v>8</x:v>
      </x:c>
      <x:c r="F9" s="51" t="n">
        <x:f>(D9+E9)/2*A9</x:f>
        <x:v>6.5</x:v>
      </x:c>
    </x:row>
    <x:row r="10">
      <x:c r="A10" s="50" t="n">
        <x:v>4</x:v>
      </x:c>
      <x:c r="B10" s="50" t="str">
        <x:v>A4988 or DRV8825 stepper drivers</x:v>
      </x:c>
      <x:c r="C10" s="50" t="str">
        <x:v>One per pump; set current limit and use heat sinks.</x:v>
      </x:c>
      <x:c r="D10" s="51" t="n">
        <x:v>3</x:v>
      </x:c>
      <x:c r="E10" s="51" t="n">
        <x:v>7</x:v>
      </x:c>
      <x:c r="F10" s="51" t="n">
        <x:f>(D10+E10)/2*A10</x:f>
        <x:v>20</x:v>
      </x:c>
    </x:row>
    <x:row r="11">
      <x:c r="A11" s="50" t="n">
        <x:v>1</x:v>
      </x:c>
      <x:c r="B11" s="50" t="str">
        <x:v>12V DC supply, 5A minimum</x:v>
      </x:c>
      <x:c r="C11" s="50" t="str">
        <x:v>Stepper-driven pumps require more current than v2 relay pumps.</x:v>
      </x:c>
      <x:c r="D11" s="51" t="n">
        <x:v>14</x:v>
      </x:c>
      <x:c r="E11" s="51" t="n">
        <x:v>25</x:v>
      </x:c>
      <x:c r="F11" s="51" t="n">
        <x:f>(D11+E11)/2*A11</x:f>
        <x:v>19.5</x:v>
      </x:c>
    </x:row>
    <x:row r="12">
      <x:c r="A12" s="50" t="n">
        <x:v>1</x:v>
      </x:c>
      <x:c r="B12" s="50" t="str">
        <x:v>5V/USB supply for ESP32</x:v>
      </x:c>
      <x:c r="C12" s="50" t="str">
        <x:v>Separate logic supply recommended.</x:v>
      </x:c>
      <x:c r="D12" s="51" t="n">
        <x:v>5</x:v>
      </x:c>
      <x:c r="E12" s="51" t="n">
        <x:v>8</x:v>
      </x:c>
      <x:c r="F12" s="51" t="n">
        <x:f>(D12+E12)/2*A12</x:f>
        <x:v>6.5</x:v>
      </x:c>
    </x:row>
    <x:row r="13">
      <x:c r="A13" s="50" t="n">
        <x:v>1</x:v>
      </x:c>
      <x:c r="B13" s="50" t="str">
        <x:v>Perfboard / terminal blocks / wiring</x:v>
      </x:c>
      <x:c r="C13" s="50" t="str">
        <x:v>For tidy wiring, pullup, and service loops.</x:v>
      </x:c>
      <x:c r="D13" s="51" t="n">
        <x:v>8</x:v>
      </x:c>
      <x:c r="E13" s="51" t="n">
        <x:v>20</x:v>
      </x:c>
      <x:c r="F13" s="51" t="n">
        <x:f>(D13+E13)/2*A13</x:f>
        <x:v>14</x:v>
      </x:c>
    </x:row>
    <x:row r="14" ht="20" customHeight="1">
      <x:c r="A14" s="49" t="str">
        <x:v>PUMPS &amp; FLUIDICS</x:v>
      </x:c>
      <x:c r="B14" s="49"/>
      <x:c r="C14" s="49"/>
      <x:c r="D14" s="52"/>
      <x:c r="E14" s="52"/>
      <x:c r="F14" s="52"/>
    </x:row>
    <x:row r="15">
      <x:c r="A15" s="50" t="n">
        <x:v>1</x:v>
      </x:c>
      <x:c r="B15" s="50" t="str">
        <x:v>Stepper peristaltic pump A</x:v>
      </x:c>
      <x:c r="C15" s="50" t="str">
        <x:v>Reference reservoir to/from reaction chamber; reversible.</x:v>
      </x:c>
      <x:c r="D15" s="51" t="n">
        <x:v>35</x:v>
      </x:c>
      <x:c r="E15" s="51" t="n">
        <x:v>70</x:v>
      </x:c>
      <x:c r="F15" s="51" t="n">
        <x:f>(D15+E15)/2*A15</x:f>
        <x:v>52.5</x:v>
      </x:c>
    </x:row>
    <x:row r="16">
      <x:c r="A16" s="50" t="n">
        <x:v>1</x:v>
      </x:c>
      <x:c r="B16" s="50" t="str">
        <x:v>Stepper peristaltic pump B</x:v>
      </x:c>
      <x:c r="C16" s="50" t="str">
        <x:v>Tank/sample fill pump; step-counted volume control.</x:v>
      </x:c>
      <x:c r="D16" s="51" t="n">
        <x:v>35</x:v>
      </x:c>
      <x:c r="E16" s="51" t="n">
        <x:v>70</x:v>
      </x:c>
      <x:c r="F16" s="51" t="n">
        <x:f>(D16+E16)/2*A16</x:f>
        <x:v>52.5</x:v>
      </x:c>
    </x:row>
    <x:row r="17">
      <x:c r="A17" s="50" t="n">
        <x:v>1</x:v>
      </x:c>
      <x:c r="B17" s="50" t="str">
        <x:v>Stepper peristaltic pump C</x:v>
      </x:c>
      <x:c r="C17" s="50" t="str">
        <x:v>Reaction chamber drain/evacuation; routes titration waste to waste container.</x:v>
      </x:c>
      <x:c r="D17" s="51" t="n">
        <x:v>35</x:v>
      </x:c>
      <x:c r="E17" s="51" t="n">
        <x:v>70</x:v>
      </x:c>
      <x:c r="F17" s="51" t="n">
        <x:f>(D17+E17)/2*A17</x:f>
        <x:v>52.5</x:v>
      </x:c>
    </x:row>
    <x:row r="18">
      <x:c r="A18" s="50" t="n">
        <x:v>1</x:v>
      </x:c>
      <x:c r="B18" s="50" t="str">
        <x:v>Stepper peristaltic pump D</x:v>
      </x:c>
      <x:c r="C18" s="50" t="str">
        <x:v>Acid reagent dosing pump. Highest calibration priority.</x:v>
      </x:c>
      <x:c r="D18" s="51" t="n">
        <x:v>35</x:v>
      </x:c>
      <x:c r="E18" s="51" t="n">
        <x:v>80</x:v>
      </x:c>
      <x:c r="F18" s="51" t="n">
        <x:f>(D18+E18)/2*A18</x:f>
        <x:v>57.5</x:v>
      </x:c>
    </x:row>
    <x:row r="19">
      <x:c r="A19" s="50" t="n">
        <x:v>1</x:v>
      </x:c>
      <x:c r="B19" s="50" t="str">
        <x:v>Micro diaphragm air pump</x:v>
      </x:c>
      <x:c r="C19" s="50" t="str">
        <x:v>Fine bubbles for aeration and titration mixing pulses.</x:v>
      </x:c>
      <x:c r="D19" s="51" t="n">
        <x:v>8</x:v>
      </x:c>
      <x:c r="E19" s="51" t="n">
        <x:v>15</x:v>
      </x:c>
      <x:c r="F19" s="51" t="n">
        <x:f>(D19+E19)/2*A19</x:f>
        <x:v>11.5</x:v>
      </x:c>
    </x:row>
    <x:row r="20">
      <x:c r="A20" s="50" t="n">
        <x:v>1</x:v>
      </x:c>
      <x:c r="B20" s="50" t="str">
        <x:v>Ceramic fine-bubble airstone</x:v>
      </x:c>
      <x:c r="C20" s="50" t="str">
        <x:v>Small enough for 40-60 mL chamber.</x:v>
      </x:c>
      <x:c r="D20" s="51" t="n">
        <x:v>2</x:v>
      </x:c>
      <x:c r="E20" s="51" t="n">
        <x:v>5</x:v>
      </x:c>
      <x:c r="F20" s="51" t="n">
        <x:f>(D20+E20)/2*A20</x:f>
        <x:v>3.5</x:v>
      </x:c>
    </x:row>
    <x:row r="21">
      <x:c r="A21" s="50" t="n">
        <x:v>4</x:v>
      </x:c>
      <x:c r="B21" s="50" t="str">
        <x:v>Tubing, 3 mm ID, peristaltic compatible</x:v>
      </x:c>
      <x:c r="C21" s="50" t="str">
        <x:v>Meters. Buy extra for calibration and replacement.</x:v>
      </x:c>
      <x:c r="D21" s="51" t="n">
        <x:v>3</x:v>
      </x:c>
      <x:c r="E21" s="51" t="n">
        <x:v>5</x:v>
      </x:c>
      <x:c r="F21" s="51" t="n">
        <x:f>(D21+E21)/2*A21</x:f>
        <x:v>16</x:v>
      </x:c>
    </x:row>
    <x:row r="22">
      <x:c r="A22" s="50" t="n">
        <x:v>1</x:v>
      </x:c>
      <x:c r="B22" s="50" t="str">
        <x:v>Bulkhead fittings / tube glands set</x:v>
      </x:c>
      <x:c r="C22" s="50" t="str">
        <x:v>Ports for chamber, reservoirs, and rear panel.</x:v>
      </x:c>
      <x:c r="D22" s="51" t="n">
        <x:v>10</x:v>
      </x:c>
      <x:c r="E22" s="51" t="n">
        <x:v>20</x:v>
      </x:c>
      <x:c r="F22" s="51" t="n">
        <x:f>(D22+E22)/2*A22</x:f>
        <x:v>15</x:v>
      </x:c>
    </x:row>
    <x:row r="23" ht="20" customHeight="1">
      <x:c r="A23" s="49" t="str">
        <x:v>CONTAINERS &amp; HARDWARE</x:v>
      </x:c>
      <x:c r="B23" s="49"/>
      <x:c r="C23" s="49"/>
      <x:c r="D23" s="52"/>
      <x:c r="E23" s="52"/>
      <x:c r="F23" s="52"/>
    </x:row>
    <x:row r="24">
      <x:c r="A24" s="50" t="n">
        <x:v>1</x:v>
      </x:c>
      <x:c r="B24" s="50" t="str">
        <x:v>Reference reservoir bottle</x:v>
      </x:c>
      <x:c r="C24" s="50" t="str">
        <x:v>500-1000 mL HDPE or Nalgene-style bottle.</x:v>
      </x:c>
      <x:c r="D24" s="51" t="n">
        <x:v>12</x:v>
      </x:c>
      <x:c r="E24" s="51" t="n">
        <x:v>30</x:v>
      </x:c>
      <x:c r="F24" s="51" t="n">
        <x:f>(D24+E24)/2*A24</x:f>
        <x:v>21</x:v>
      </x:c>
    </x:row>
    <x:row r="25">
      <x:c r="A25" s="50" t="n">
        <x:v>1</x:v>
      </x:c>
      <x:c r="B25" s="50" t="str">
        <x:v>Acid reagent reservoir</x:v>
      </x:c>
      <x:c r="C25" s="50" t="str">
        <x:v>250-500 mL acid-resistant HDPE bottle; label ACID - HCl.</x:v>
      </x:c>
      <x:c r="D25" s="51" t="n">
        <x:v>8</x:v>
      </x:c>
      <x:c r="E25" s="51" t="n">
        <x:v>20</x:v>
      </x:c>
      <x:c r="F25" s="51" t="n">
        <x:f>(D25+E25)/2*A25</x:f>
        <x:v>14</x:v>
      </x:c>
    </x:row>
    <x:row r="26">
      <x:c r="A26" s="50" t="n">
        <x:v>1</x:v>
      </x:c>
      <x:c r="B26" s="50" t="str">
        <x:v>Waste collection container</x:v>
      </x:c>
      <x:c r="C26" s="50" t="str">
        <x:v>Closed HDPE container for acidified titration waste.</x:v>
      </x:c>
      <x:c r="D26" s="51" t="n">
        <x:v>5</x:v>
      </x:c>
      <x:c r="E26" s="51" t="n">
        <x:v>12</x:v>
      </x:c>
      <x:c r="F26" s="51" t="n">
        <x:f>(D26+E26)/2*A26</x:f>
        <x:v>8.5</x:v>
      </x:c>
    </x:row>
    <x:row r="27">
      <x:c r="A27" s="50" t="n">
        <x:v>1</x:v>
      </x:c>
      <x:c r="B27" s="50" t="str">
        <x:v>Reaction chamber / measurement cell</x:v>
      </x:c>
      <x:c r="C27" s="50" t="str">
        <x:v>40-60 mL clear acrylic/PETG with pH, temp, air, sample, drain, and acid ports.</x:v>
      </x:c>
      <x:c r="D27" s="51" t="n">
        <x:v>20</x:v>
      </x:c>
      <x:c r="E27" s="51" t="n">
        <x:v>60</x:v>
      </x:c>
      <x:c r="F27" s="51" t="n">
        <x:f>(D27+E27)/2*A27</x:f>
        <x:v>40</x:v>
      </x:c>
    </x:row>
    <x:row r="28">
      <x:c r="A28" s="50" t="n">
        <x:v>1</x:v>
      </x:c>
      <x:c r="B28" s="50" t="str">
        <x:v>Electronics enclosure</x:v>
      </x:c>
      <x:c r="C28" s="50" t="str">
        <x:v>ABS project box; separate wet and dry areas.</x:v>
      </x:c>
      <x:c r="D28" s="51" t="n">
        <x:v>12</x:v>
      </x:c>
      <x:c r="E28" s="51" t="n">
        <x:v>25</x:v>
      </x:c>
      <x:c r="F28" s="51" t="n">
        <x:f>(D28+E28)/2*A28</x:f>
        <x:v>18.5</x:v>
      </x:c>
    </x:row>
    <x:row r="29">
      <x:c r="A29" s="50" t="n">
        <x:v>1</x:v>
      </x:c>
      <x:c r="B29" s="50" t="str">
        <x:v>Drip tray / leak containment</x:v>
      </x:c>
      <x:c r="C29" s="50" t="str">
        <x:v>Recommended under wet components.</x:v>
      </x:c>
      <x:c r="D29" s="51" t="n">
        <x:v>5</x:v>
      </x:c>
      <x:c r="E29" s="51" t="n">
        <x:v>20</x:v>
      </x:c>
      <x:c r="F29" s="51" t="n">
        <x:f>(D29+E29)/2*A29</x:f>
        <x:v>12.5</x:v>
      </x:c>
    </x:row>
    <x:row r="30">
      <x:c r="A30" s="50" t="n">
        <x:v>1</x:v>
      </x:c>
      <x:c r="B30" s="50" t="str">
        <x:v>Misc. sealant, cable clips, labels</x:v>
      </x:c>
      <x:c r="C30" s="50" t="str">
        <x:v>Mounting, waterproofing, acid/waste labels.</x:v>
      </x:c>
      <x:c r="D30" s="51" t="n">
        <x:v>8</x:v>
      </x:c>
      <x:c r="E30" s="51" t="n">
        <x:v>15</x:v>
      </x:c>
      <x:c r="F30" s="51" t="n">
        <x:f>(D30+E30)/2*A30</x:f>
        <x:v>11.5</x:v>
      </x:c>
    </x:row>
    <x:row r="31" ht="20" customHeight="1">
      <x:c r="A31" s="49" t="str">
        <x:v>CONSUMABLES</x:v>
      </x:c>
      <x:c r="B31" s="49"/>
      <x:c r="C31" s="49"/>
      <x:c r="D31" s="52"/>
      <x:c r="E31" s="52"/>
      <x:c r="F31" s="52"/>
    </x:row>
    <x:row r="32">
      <x:c r="A32" s="50" t="n">
        <x:v>1</x:v>
      </x:c>
      <x:c r="B32" s="50" t="str">
        <x:v>0.1N HCl titrant or known-normality acid</x:v>
      </x:c>
      <x:c r="C32" s="50" t="str">
        <x:v>Required only for MODE TITR. Store capped and labelled.</x:v>
      </x:c>
      <x:c r="D32" s="51" t="n">
        <x:v>10</x:v>
      </x:c>
      <x:c r="E32" s="51" t="n">
        <x:v>25</x:v>
      </x:c>
      <x:c r="F32" s="51" t="n">
        <x:f>(D32+E32)/2*A32</x:f>
        <x:v>17.5</x:v>
      </x:c>
    </x:row>
    <x:row r="33">
      <x:c r="A33" s="50" t="n">
        <x:v>1</x:v>
      </x:c>
      <x:c r="B33" s="50" t="str">
        <x:v>pH 7.00 and pH 4.01 calibration buffers</x:v>
      </x:c>
      <x:c r="C33" s="50" t="str">
        <x:v>Required for pH probe calibration.</x:v>
      </x:c>
      <x:c r="D33" s="51" t="n">
        <x:v>8</x:v>
      </x:c>
      <x:c r="E33" s="51" t="n">
        <x:v>20</x:v>
      </x:c>
      <x:c r="F33" s="51" t="n">
        <x:f>(D33+E33)/2*A33</x:f>
        <x:v>14</x:v>
      </x:c>
    </x:row>
    <x:row r="34">
      <x:c r="A34" s="50" t="n">
        <x:v>1</x:v>
      </x:c>
      <x:c r="B34" s="50" t="str">
        <x:v>Baking soda for neutralizing waste</x:v>
      </x:c>
      <x:c r="C34" s="50" t="str">
        <x:v>Required for acid waste neutralization.</x:v>
      </x:c>
      <x:c r="D34" s="51" t="n">
        <x:v>2</x:v>
      </x:c>
      <x:c r="E34" s="51" t="n">
        <x:v>5</x:v>
      </x:c>
      <x:c r="F34" s="51" t="n">
        <x:f>(D34+E34)/2*A34</x:f>
        <x:v>3.5</x:v>
      </x:c>
    </x:row>
    <x:row r="35" ht="20" customHeight="1">
      <x:c r="A35" s="49" t="str">
        <x:v>PHYSICAL BUILD / TOOLS</x:v>
      </x:c>
      <x:c r="B35" s="49"/>
      <x:c r="C35" s="49"/>
      <x:c r="D35" s="52"/>
      <x:c r="E35" s="52"/>
      <x:c r="F35" s="52"/>
    </x:row>
    <x:row r="36">
      <x:c r="A36" s="50" t="n">
        <x:v>1</x:v>
      </x:c>
      <x:c r="B36" s="50" t="str">
        <x:v>Reaction chamber fabrication</x:v>
      </x:c>
      <x:c r="C36" s="50" t="str">
        <x:v>DIY drilling/tapping or outsourced 3D print/machining.</x:v>
      </x:c>
      <x:c r="D36" s="51" t="n">
        <x:v>0</x:v>
      </x:c>
      <x:c r="E36" s="51" t="n">
        <x:v>60</x:v>
      </x:c>
      <x:c r="F36" s="51" t="n">
        <x:f>(D36+E36)/2*A36</x:f>
        <x:v>30</x:v>
      </x:c>
    </x:row>
    <x:row r="37">
      <x:c r="A37" s="50" t="n">
        <x:v>1</x:v>
      </x:c>
      <x:c r="B37" s="50" t="str">
        <x:v>Step drill bits / hole saws</x:v>
      </x:c>
      <x:c r="C37" s="50" t="str">
        <x:v>For enclosure cutouts and bulkhead fittings.</x:v>
      </x:c>
      <x:c r="D37" s="51" t="n">
        <x:v>0</x:v>
      </x:c>
      <x:c r="E37" s="51" t="n">
        <x:v>20</x:v>
      </x:c>
      <x:c r="F37" s="51" t="n">
        <x:f>(D37+E37)/2*A37</x:f>
        <x:v>10</x:v>
      </x:c>
    </x:row>
    <x:row r="38">
      <x:c r="A38" s="50" t="n">
        <x:v>1</x:v>
      </x:c>
      <x:c r="B38" s="50" t="str">
        <x:v>Solder, heat shrink, connectors</x:v>
      </x:c>
      <x:c r="C38" s="50" t="str">
        <x:v>Wiring consumables.</x:v>
      </x:c>
      <x:c r="D38" s="51" t="n">
        <x:v>5</x:v>
      </x:c>
      <x:c r="E38" s="51" t="n">
        <x:v>15</x:v>
      </x:c>
      <x:c r="F38" s="51" t="n">
        <x:f>(D38+E38)/2*A38</x:f>
        <x:v>10</x:v>
      </x:c>
    </x:row>
    <x:row r="39">
      <x:c r="A39" s="50"/>
      <x:c r="B39" s="50"/>
      <x:c r="C39" s="50"/>
      <x:c r="D39" s="51"/>
      <x:c r="E39" s="51"/>
      <x:c r="F39" s="51"/>
    </x:row>
    <x:row r="40" ht="20" customHeight="1">
      <x:c r="A40" s="49" t="str">
        <x:v>SUMMARY</x:v>
      </x:c>
      <x:c r="B40" s="49"/>
      <x:c r="C40" s="49"/>
      <x:c r="D40" s="52" t="str">
        <x:v>Low ($)</x:v>
      </x:c>
      <x:c r="E40" s="52" t="str">
        <x:v>High ($)</x:v>
      </x:c>
      <x:c r="F40" s="52" t="str">
        <x:v>Mid ($)</x:v>
      </x:c>
    </x:row>
    <x:row r="41">
      <x:c r="A41" s="48" t="str">
        <x:v>Electronics</x:v>
      </x:c>
      <x:c r="B41" s="48"/>
      <x:c r="C41" s="48"/>
      <x:c r="D41" s="53" t="n">
        <x:f>SUM(D5:D13)</x:f>
        <x:v>169</x:v>
      </x:c>
      <x:c r="E41" s="53" t="n">
        <x:f>SUM(E5:E13)</x:f>
        <x:v>284</x:v>
      </x:c>
      <x:c r="F41" s="53" t="n">
        <x:f>SUM(F5:F13)</x:f>
        <x:v>241.5</x:v>
      </x:c>
    </x:row>
    <x:row r="42">
      <x:c r="A42" s="72" t="str">
        <x:v>Pumps &amp; Fluidics</x:v>
      </x:c>
      <x:c r="B42" s="72"/>
      <x:c r="C42" s="72"/>
      <x:c r="D42" s="73" t="n">
        <x:f>SUM(D15:D22)</x:f>
        <x:v>163</x:v>
      </x:c>
      <x:c r="E42" s="73" t="n">
        <x:f>SUM(E15:E22)</x:f>
        <x:v>335</x:v>
      </x:c>
      <x:c r="F42" s="73" t="n">
        <x:f>SUM(F15:F22)</x:f>
        <x:v>261</x:v>
      </x:c>
    </x:row>
    <x:row r="43">
      <x:c r="A43" s="72" t="str">
        <x:v>Containers &amp; Hardware</x:v>
      </x:c>
      <x:c r="B43" s="72"/>
      <x:c r="C43" s="72"/>
      <x:c r="D43" s="73" t="n">
        <x:f>SUM(D24:D30)</x:f>
        <x:v>70</x:v>
      </x:c>
      <x:c r="E43" s="73" t="n">
        <x:f>SUM(E24:E30)</x:f>
        <x:v>182</x:v>
      </x:c>
      <x:c r="F43" s="73" t="n">
        <x:f>SUM(F24:F30)</x:f>
        <x:v>126</x:v>
      </x:c>
    </x:row>
    <x:row r="44">
      <x:c r="A44" s="72" t="str">
        <x:v>Consumables</x:v>
      </x:c>
      <x:c r="B44" s="72"/>
      <x:c r="C44" s="72"/>
      <x:c r="D44" s="73" t="n">
        <x:f>SUM(D32:D34)</x:f>
        <x:v>20</x:v>
      </x:c>
      <x:c r="E44" s="73" t="n">
        <x:f>SUM(E32:E34)</x:f>
        <x:v>50</x:v>
      </x:c>
      <x:c r="F44" s="73" t="n">
        <x:f>SUM(F32:F34)</x:f>
        <x:v>35</x:v>
      </x:c>
    </x:row>
    <x:row r="45">
      <x:c r="A45" s="72" t="str">
        <x:v>Physical Build / Tools</x:v>
      </x:c>
      <x:c r="B45" s="72"/>
      <x:c r="C45" s="72"/>
      <x:c r="D45" s="73" t="n">
        <x:f>SUM(D36:D38)</x:f>
        <x:v>5</x:v>
      </x:c>
      <x:c r="E45" s="73" t="n">
        <x:f>SUM(E36:E38)</x:f>
        <x:v>95</x:v>
      </x:c>
      <x:c r="F45" s="73" t="n">
        <x:f>SUM(F36:F38)</x:f>
        <x:v>50</x:v>
      </x:c>
    </x:row>
    <x:row r="46">
      <x:c r="A46" s="78" t="str">
        <x:v>COMPONENTS TOTAL</x:v>
      </x:c>
      <x:c r="B46" s="78"/>
      <x:c r="C46" s="78"/>
      <x:c r="D46" s="79" t="n">
        <x:f>SUM(D41:D45)</x:f>
        <x:v>427</x:v>
      </x:c>
      <x:c r="E46" s="79" t="n">
        <x:f>SUM(E41:E45)</x:f>
        <x:v>946</x:v>
      </x:c>
      <x:c r="F46" s="79" t="n">
        <x:f>SUM(F41:F45)</x:f>
        <x:v>713.5</x:v>
      </x:c>
    </x:row>
    <x:row r="47">
      <x:c r="A47" s="50"/>
      <x:c r="B47" s="50"/>
      <x:c r="C47" s="50"/>
      <x:c r="D47" s="51"/>
      <x:c r="E47" s="51"/>
      <x:c r="F47" s="51"/>
    </x:row>
    <x:row r="48" ht="20" customHeight="1">
      <x:c r="A48" s="49" t="str">
        <x:v>Notes</x:v>
      </x:c>
      <x:c r="B48" s="49"/>
      <x:c r="C48" s="49"/>
      <x:c r="D48" s="49"/>
      <x:c r="E48" s="49"/>
      <x:c r="F48" s="49"/>
    </x:row>
    <x:row r="49" ht="32" customHeight="1">
      <x:c r="A49" s="63" t="str">
        <x:v>v3.0 includes both pH differential and acid titration modes. Titration mode requires acid reagent, Pump D, and an acid waste container.</x:v>
      </x:c>
      <x:c r="B49" s="63"/>
      <x:c r="C49" s="63"/>
      <x:c r="D49" s="63"/>
      <x:c r="E49" s="63"/>
      <x:c r="F49" s="63"/>
    </x:row>
    <x:row r="50" ht="32" customHeight="1">
      <x:c r="A50" s="63" t="str">
        <x:v>Do not return titration waste to the aquarium. Any sample that receives acid must go to waste and be neutralized before disposal.</x:v>
      </x:c>
      <x:c r="B50" s="63"/>
      <x:c r="C50" s="63"/>
      <x:c r="D50" s="63"/>
      <x:c r="E50" s="63"/>
      <x:c r="F50" s="63"/>
    </x:row>
    <x:row r="51" ht="32" customHeight="1">
      <x:c r="A51" s="63" t="str">
        <x:v>pH probe quality and pump calibration dominate measurement reliability.</x:v>
      </x:c>
      <x:c r="B51" s="63"/>
      <x:c r="C51" s="63"/>
      <x:c r="D51" s="63"/>
      <x:c r="E51" s="63"/>
      <x:c r="F51" s="63"/>
    </x:row>
    <x:row r="52">
      <x:c r="A52" s="50"/>
      <x:c r="B52" s="50"/>
      <x:c r="C52" s="50"/>
      <x:c r="D52" s="50"/>
      <x:c r="E52" s="50"/>
      <x:c r="F52" s="50"/>
    </x:row>
  </x:sheetData>
  <x:mergeCells>
    <x:mergeCell ref="A1:F1"/>
    <x:mergeCell ref="A2:F2"/>
    <x:mergeCell ref="A49:F49"/>
    <x:mergeCell ref="A50:F50"/>
    <x:mergeCell ref="A51:F51"/>
  </x:mergeCells>
  <x:pageMargins left="0.7" right="0.7" top="0.75" bottom="0.75" header="0.3" footer="0.3"/>
</x:worksheet>
</file>