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ce 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<sst xmlns="http://schemas.openxmlformats.org/spreadsheetml/2006/main" count="110" uniqueCount="85">
  <si>
    <t xml:space="preserve">DIY Ratiometric Alkalinity Monitor — Component Price Sheet</t>
  </si>
  <si>
    <t xml:space="preserve">Telegraham Tested  •  Firmware v2.1.1  •  All prices approximate US retail</t>
  </si>
  <si>
    <t xml:space="preserve">Qty</t>
  </si>
  <si>
    <t xml:space="preserve">Item</t>
  </si>
  <si>
    <t xml:space="preserve">Notes</t>
  </si>
  <si>
    <t xml:space="preserve">Low ($)</t>
  </si>
  <si>
    <t xml:space="preserve">High ($)</t>
  </si>
  <si>
    <t xml:space="preserve">Subtotal (mid)</t>
  </si>
  <si>
    <t xml:space="preserve">ELECTRONICS</t>
  </si>
  <si>
    <t xml:space="preserve">1</t>
  </si>
  <si>
    <t xml:space="preserve">ESP32 DevKit C (38-pin)</t>
  </si>
  <si>
    <t xml:space="preserve">Espressif or clone. Must be 38-pin standard pinout. Do not buy the 30-pin variant.</t>
  </si>
  <si>
    <t xml:space="preserve">Atlas Scientific EZO-pH Circuit</t>
  </si>
  <si>
    <t xml:space="preserve">Isolated version (EZO-pH). Cheap alternatives produce unusable noise.</t>
  </si>
  <si>
    <t xml:space="preserve">Atlas EZO Isolated Carrier Board</t>
  </si>
  <si>
    <t xml:space="preserve">Part: EZO-PMP-ISO. Mandatory — eliminates pump motor noise from pH readings.</t>
  </si>
  <si>
    <t xml:space="preserve">Lab-grade double-junction pH probe</t>
  </si>
  <si>
    <t xml:space="preserve">BNC connector, gel-filled, epoxy/Ultem body. Atlas or Hanna HI1083. This is the most critical purchase — do not skimp.</t>
  </si>
  <si>
    <t xml:space="preserve">DS18B20 waterproof temp probe</t>
  </si>
  <si>
    <t xml:space="preserve">1-meter stainless steel sheath. 1-Wire digital. Any brand.</t>
  </si>
  <si>
    <t xml:space="preserve">4-channel relay module, 5V opto-isolated</t>
  </si>
  <si>
    <t xml:space="preserve">Controls all 4 pumps. Must be opto-isolated. Active-LOW most common — see wiring notes.</t>
  </si>
  <si>
    <t xml:space="preserve">4.7 kΩ resistor</t>
  </si>
  <si>
    <t xml:space="preserve">Pullup for DS18B20 data line. Often included in DS18B20 kits.</t>
  </si>
  <si>
    <t xml:space="preserve">12V 2A DC power supply</t>
  </si>
  <si>
    <t xml:space="preserve">Powers pumps. Standard barrel connector.</t>
  </si>
  <si>
    <t xml:space="preserve">5V 1A supply or USB phone charger</t>
  </si>
  <si>
    <t xml:space="preserve">Powers ESP32.</t>
  </si>
  <si>
    <t xml:space="preserve">Breadboard or small perfboard</t>
  </si>
  <si>
    <t xml:space="preserve">For pullup resistor and wiring connections.</t>
  </si>
  <si>
    <t xml:space="preserve">Jumper wire assortment</t>
  </si>
  <si>
    <t xml:space="preserve">Male-to-male and male-to-female, 20 cm.</t>
  </si>
  <si>
    <t xml:space="preserve">PUMPS &amp; FLUIDICS</t>
  </si>
  <si>
    <t xml:space="preserve">Reversible peristaltic pump, 12V (Pump A)</t>
  </si>
  <si>
    <t xml:space="preserve">Must run both directions. Kamoer FX-STP or similar. Draws from and returns to reference reservoir.</t>
  </si>
  <si>
    <t xml:space="preserve">Reversible peristaltic pump, 12V (Pump B)</t>
  </si>
  <si>
    <t xml:space="preserve">Must run both directions, same as Pump A. Draws tank water in and returns it to the sump after measurement. Kamoer FX-STP or similar.</t>
  </si>
  <si>
    <t xml:space="preserve">Micro diaphragm air pump</t>
  </si>
  <si>
    <t xml:space="preserve">5V or 12V. Fine bubbles required. Tetra Whisper or small aquarium air pump.</t>
  </si>
  <si>
    <t xml:space="preserve">Ceramic fine-bubble airstone</t>
  </si>
  <si>
    <t xml:space="preserve">Small, fits inside reaction chamber. Pre-soak in RO water before first use.</t>
  </si>
  <si>
    <t xml:space="preserve">2 m</t>
  </si>
  <si>
    <t xml:space="preserve">Silicone tubing, 3 mm ID</t>
  </si>
  <si>
    <t xml:space="preserve">Food-safe, peristaltic-pump compatible. Buy extra for calibration runs.</t>
  </si>
  <si>
    <t xml:space="preserve">4</t>
  </si>
  <si>
    <t xml:space="preserve">Barbed fittings &amp; check valves</t>
  </si>
  <si>
    <t xml:space="preserve">Prevents back-siphoning. Critical if sump is above the chamber.</t>
  </si>
  <si>
    <t xml:space="preserve">CONTAINERS &amp; HARDWARE</t>
  </si>
  <si>
    <t xml:space="preserve">Reference reservoir bottle</t>
  </si>
  <si>
    <t xml:space="preserve">500–1000 mL HDPE, wide-mouth. Requires three cap ports: Pump A tubing, PTFE vent plug, and one spare. Nalgene or equivalent.</t>
  </si>
  <si>
    <t xml:space="preserve">2</t>
  </si>
  <si>
    <t xml:space="preserve">PTFE hydrophobic membrane vent plug</t>
  </si>
  <si>
    <t xml:space="preserve">Polytetrafluoroethylene membrane vent for reservoir cap. Allows pressure equalization without liquid evaporation. CO₂ passing through does NOT affect alkalinity — TA is conserved. One installed, one spare. Lab supply or aquarium store.</t>
  </si>
  <si>
    <t xml:space="preserve">Reaction chamber / measurement cell</t>
  </si>
  <si>
    <t xml:space="preserve">40–60 mL. Clear acrylic tube + end caps, or 3D-printed PETG. Needs ports for pH probe, temp probe, airline, sample in, drain out.</t>
  </si>
  <si>
    <t xml:space="preserve">Electronics enclosure</t>
  </si>
  <si>
    <t xml:space="preserve">ABS project box. Weatherproof if near sump.</t>
  </si>
  <si>
    <t xml:space="preserve">Bulkhead fittings, 1/4" or 3/8"</t>
  </si>
  <si>
    <t xml:space="preserve">Seals tubing penetrations into reservoir and chamber walls.</t>
  </si>
  <si>
    <t xml:space="preserve">Misc: zip ties, sealant, cable clips</t>
  </si>
  <si>
    <t xml:space="preserve">Mounting, waterproofing, cable management.</t>
  </si>
  <si>
    <t xml:space="preserve">PHYSICAL BUILD (NOT INCLUDED ABOVE)</t>
  </si>
  <si>
    <t xml:space="preserve">—</t>
  </si>
  <si>
    <t xml:space="preserve">Fabrication — reaction chamber ports</t>
  </si>
  <si>
    <t xml:space="preserve">Drilling and tapping probe/tube ports into acrylic or PETG. DIY: ~$0 if you own a drill. Professional shop: variable.</t>
  </si>
  <si>
    <t xml:space="preserve">3D printing — reaction chamber shell</t>
  </si>
  <si>
    <t xml:space="preserve">If outsourcing. JLCPCB or local shop. DIY with own printer: filament ~$2.</t>
  </si>
  <si>
    <t xml:space="preserve">Solder, heat shrink, connectors</t>
  </si>
  <si>
    <t xml:space="preserve">Misc electronics consumables for wiring the relay module and probe connections.</t>
  </si>
  <si>
    <t xml:space="preserve">Step drill bits for enclosure cutouts</t>
  </si>
  <si>
    <t xml:space="preserve">For probe glands, cable glands, and power entry in the electronics box.</t>
  </si>
  <si>
    <t xml:space="preserve">Drip tray</t>
  </si>
  <si>
    <t xml:space="preserve">Under all fluidic components. Tupperware or custom-cut acrylic sheet.</t>
  </si>
  <si>
    <t xml:space="preserve">SUMMARY</t>
  </si>
  <si>
    <t xml:space="preserve">Mid ($)</t>
  </si>
  <si>
    <t xml:space="preserve">Electronics</t>
  </si>
  <si>
    <t xml:space="preserve">Pumps &amp; Fluidics</t>
  </si>
  <si>
    <t xml:space="preserve">Containers &amp; Hardware</t>
  </si>
  <si>
    <t xml:space="preserve">Physical Build (additional)</t>
  </si>
  <si>
    <t xml:space="preserve">COMPONENTS TOTAL</t>
  </si>
  <si>
    <t xml:space="preserve">ALL-IN ESTIMATE (incl. physical build)</t>
  </si>
  <si>
    <t xml:space="preserve">⚠  pH probe is the most critical purchase. A cheap probe makes the device useless — the ΔpH signal is only 0.02 pH per 0.5 dKH change.</t>
  </si>
  <si>
    <t xml:space="preserve">⚠  Physical build costs assume DIY fabrication. Professional machining or outsourced 3D printing adds cost not captured above.</t>
  </si>
  <si>
    <t xml:space="preserve">ℹ  Prices are approximate US retail (2024–2025). Amazon, Digikey, Atlas Scientific, and BRS are the primary sources.</t>
  </si>
  <si>
    <t xml:space="preserve">ℹ  Tools not included: soldering iron, drill, multimeter, wire strippers. Add ~$50–$100 if starting from scratch.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</si>
</sst>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1A6B6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9"/>
      <color rgb="FF44444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i val="true"/>
      <sz val="10"/>
      <color rgb="FF000000"/>
      <name val="Arial"/>
      <family val="0"/>
      <charset val="1"/>
    </font>
    <font>
      <i val="true"/>
      <sz val="9"/>
      <color rgb="FF00000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A6B6B"/>
        <bgColor rgb="FF008080"/>
      </patternFill>
    </fill>
    <fill>
      <patternFill patternType="solid">
        <fgColor rgb="FFE6F4F4"/>
        <bgColor rgb="FFF5F5F5"/>
      </patternFill>
    </fill>
    <fill>
      <patternFill patternType="solid">
        <fgColor rgb="FF2E8B8B"/>
        <bgColor rgb="FF00808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6F4F4"/>
      </patternFill>
    </fill>
    <fill>
      <patternFill patternType="solid">
        <fgColor rgb="FFE07000"/>
        <bgColor rgb="FFFF9900"/>
      </patternFill>
    </fill>
    <fill>
      <patternFill patternType="solid">
        <fgColor rgb="FFFFF3CD"/>
        <bgColor rgb="FFFFF8E1"/>
      </patternFill>
    </fill>
    <fill>
      <patternFill patternType="solid">
        <fgColor rgb="FFFFF8E1"/>
        <bgColor rgb="FFFFF3CD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1A6B6B"/>
      </left>
      <right style="thin">
        <color rgb="FF1A6B6B"/>
      </right>
      <top style="thin">
        <color rgb="FF1A6B6B"/>
      </top>
      <bottom style="thin">
        <color rgb="FF1A6B6B"/>
      </bottom>
      <diagonal/>
    </border>
    <border diagonalUp="false" diagonalDown="false">
      <left style="thin">
        <color rgb="FF1A6B6B"/>
      </left>
      <right/>
      <top style="thin">
        <color rgb="FF1A6B6B"/>
      </top>
      <bottom style="thin">
        <color rgb="FF1A6B6B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BBBBBB"/>
      </left>
      <right/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5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6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8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9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9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5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1" fillId="8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8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2" fillId="8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A6B6B"/>
      <rgbColor rgb="FFBBBBBB"/>
      <rgbColor rgb="FF808080"/>
      <rgbColor rgb="FF9999FF"/>
      <rgbColor rgb="FF993366"/>
      <rgbColor rgb="FFFFF8E1"/>
      <rgbColor rgb="FFE6F4F4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CCFFCC"/>
      <rgbColor rgb="FFFFF3CD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07000"/>
      <rgbColor rgb="FF666699"/>
      <rgbColor rgb="FF969696"/>
      <rgbColor rgb="FF003366"/>
      <rgbColor rgb="FF2E8B8B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2"/>
    <col collapsed="false" customWidth="true" hidden="false" outlineLevel="0" max="3" min="3" style="0" width="38"/>
    <col collapsed="false" customWidth="true" hidden="false" outlineLevel="0" max="5" min="4" style="0" width="13"/>
    <col collapsed="false" customWidth="true" hidden="false" outlineLevel="0" max="6" min="6" style="0" width="18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21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customFormat="false" ht="18" hidden="false" customHeight="true" outlineLevel="0" collapsed="false">
      <c r="A4" s="4" t="s">
        <v>8</v>
      </c>
      <c r="B4" s="4"/>
      <c r="C4" s="4"/>
      <c r="D4" s="4"/>
      <c r="E4" s="4"/>
      <c r="F4" s="4"/>
    </row>
    <row r="5" customFormat="false" ht="30" hidden="false" customHeight="true" outlineLevel="0" collapsed="false">
      <c r="A5" s="5" t="s">
        <v>9</v>
      </c>
      <c r="B5" s="6" t="s">
        <v>10</v>
      </c>
      <c r="C5" s="7" t="s">
        <v>11</v>
      </c>
      <c r="D5" s="8" t="n">
        <v>8</v>
      </c>
      <c r="E5" s="8" t="n">
        <v>12</v>
      </c>
      <c r="F5" s="8" t="n">
        <f aca="false">(D5+E5)/2</f>
        <v>10</v>
      </c>
    </row>
    <row r="6" customFormat="false" ht="21.75" hidden="false" customHeight="true" outlineLevel="0" collapsed="false">
      <c r="A6" s="9" t="s">
        <v>9</v>
      </c>
      <c r="B6" s="10" t="s">
        <v>12</v>
      </c>
      <c r="C6" s="11" t="s">
        <v>13</v>
      </c>
      <c r="D6" s="12" t="n">
        <v>43</v>
      </c>
      <c r="E6" s="12" t="n">
        <v>47</v>
      </c>
      <c r="F6" s="12" t="n">
        <f aca="false">(D6+E6)/2</f>
        <v>45</v>
      </c>
    </row>
    <row r="7" customFormat="false" ht="21.75" hidden="false" customHeight="true" outlineLevel="0" collapsed="false">
      <c r="A7" s="5" t="s">
        <v>9</v>
      </c>
      <c r="B7" s="6" t="s">
        <v>14</v>
      </c>
      <c r="C7" s="7" t="s">
        <v>15</v>
      </c>
      <c r="D7" s="8" t="n">
        <v>23</v>
      </c>
      <c r="E7" s="8" t="n">
        <v>27</v>
      </c>
      <c r="F7" s="8" t="n">
        <f aca="false">(D7+E7)/2</f>
        <v>25</v>
      </c>
    </row>
    <row r="8" customFormat="false" ht="30" hidden="false" customHeight="true" outlineLevel="0" collapsed="false">
      <c r="A8" s="9" t="s">
        <v>9</v>
      </c>
      <c r="B8" s="10" t="s">
        <v>16</v>
      </c>
      <c r="C8" s="11" t="s">
        <v>17</v>
      </c>
      <c r="D8" s="12" t="n">
        <v>60</v>
      </c>
      <c r="E8" s="12" t="n">
        <v>130</v>
      </c>
      <c r="F8" s="12" t="n">
        <f aca="false">(D8+E8)/2</f>
        <v>95</v>
      </c>
    </row>
    <row r="9" customFormat="false" ht="21.75" hidden="false" customHeight="true" outlineLevel="0" collapsed="false">
      <c r="A9" s="5" t="s">
        <v>9</v>
      </c>
      <c r="B9" s="6" t="s">
        <v>18</v>
      </c>
      <c r="C9" s="7" t="s">
        <v>19</v>
      </c>
      <c r="D9" s="8" t="n">
        <v>5</v>
      </c>
      <c r="E9" s="8" t="n">
        <v>8</v>
      </c>
      <c r="F9" s="8" t="n">
        <f aca="false">(D9+E9)/2</f>
        <v>6.5</v>
      </c>
    </row>
    <row r="10" customFormat="false" ht="30" hidden="false" customHeight="true" outlineLevel="0" collapsed="false">
      <c r="A10" s="9" t="s">
        <v>9</v>
      </c>
      <c r="B10" s="10" t="s">
        <v>20</v>
      </c>
      <c r="C10" s="11" t="s">
        <v>21</v>
      </c>
      <c r="D10" s="12" t="n">
        <v>7</v>
      </c>
      <c r="E10" s="12" t="n">
        <v>10</v>
      </c>
      <c r="F10" s="12" t="n">
        <f aca="false">(D10+E10)/2</f>
        <v>8.5</v>
      </c>
    </row>
    <row r="11" customFormat="false" ht="21.75" hidden="false" customHeight="true" outlineLevel="0" collapsed="false">
      <c r="A11" s="5" t="s">
        <v>9</v>
      </c>
      <c r="B11" s="6" t="s">
        <v>22</v>
      </c>
      <c r="C11" s="7" t="s">
        <v>23</v>
      </c>
      <c r="D11" s="8" t="n">
        <v>0.5</v>
      </c>
      <c r="E11" s="8" t="n">
        <v>1</v>
      </c>
      <c r="F11" s="8" t="n">
        <f aca="false">(D11+E11)/2</f>
        <v>0.75</v>
      </c>
    </row>
    <row r="12" customFormat="false" ht="21.75" hidden="false" customHeight="true" outlineLevel="0" collapsed="false">
      <c r="A12" s="9" t="s">
        <v>9</v>
      </c>
      <c r="B12" s="10" t="s">
        <v>24</v>
      </c>
      <c r="C12" s="11" t="s">
        <v>25</v>
      </c>
      <c r="D12" s="12" t="n">
        <v>8</v>
      </c>
      <c r="E12" s="12" t="n">
        <v>12</v>
      </c>
      <c r="F12" s="12" t="n">
        <f aca="false">(D12+E12)/2</f>
        <v>10</v>
      </c>
    </row>
    <row r="13" customFormat="false" ht="21.75" hidden="false" customHeight="true" outlineLevel="0" collapsed="false">
      <c r="A13" s="5" t="s">
        <v>9</v>
      </c>
      <c r="B13" s="6" t="s">
        <v>26</v>
      </c>
      <c r="C13" s="7" t="s">
        <v>27</v>
      </c>
      <c r="D13" s="8" t="n">
        <v>5</v>
      </c>
      <c r="E13" s="8" t="n">
        <v>8</v>
      </c>
      <c r="F13" s="8" t="n">
        <f aca="false">(D13+E13)/2</f>
        <v>6.5</v>
      </c>
    </row>
    <row r="14" customFormat="false" ht="21.75" hidden="false" customHeight="true" outlineLevel="0" collapsed="false">
      <c r="A14" s="9" t="s">
        <v>9</v>
      </c>
      <c r="B14" s="10" t="s">
        <v>28</v>
      </c>
      <c r="C14" s="11" t="s">
        <v>29</v>
      </c>
      <c r="D14" s="12" t="n">
        <v>3</v>
      </c>
      <c r="E14" s="12" t="n">
        <v>6</v>
      </c>
      <c r="F14" s="12" t="n">
        <f aca="false">(D14+E14)/2</f>
        <v>4.5</v>
      </c>
    </row>
    <row r="15" customFormat="false" ht="21.75" hidden="false" customHeight="true" outlineLevel="0" collapsed="false">
      <c r="A15" s="5" t="s">
        <v>9</v>
      </c>
      <c r="B15" s="6" t="s">
        <v>30</v>
      </c>
      <c r="C15" s="7" t="s">
        <v>31</v>
      </c>
      <c r="D15" s="8" t="n">
        <v>5</v>
      </c>
      <c r="E15" s="8" t="n">
        <v>8</v>
      </c>
      <c r="F15" s="8" t="n">
        <f aca="false">(D15+E15)/2</f>
        <v>6.5</v>
      </c>
    </row>
    <row r="16" customFormat="false" ht="18" hidden="false" customHeight="true" outlineLevel="0" collapsed="false">
      <c r="A16" s="4" t="s">
        <v>32</v>
      </c>
      <c r="B16" s="4"/>
      <c r="C16" s="4"/>
      <c r="D16" s="4"/>
      <c r="E16" s="4"/>
      <c r="F16" s="4"/>
    </row>
    <row r="17" customFormat="false" ht="30" hidden="false" customHeight="true" outlineLevel="0" collapsed="false">
      <c r="A17" s="5" t="s">
        <v>9</v>
      </c>
      <c r="B17" s="6" t="s">
        <v>33</v>
      </c>
      <c r="C17" s="7" t="s">
        <v>34</v>
      </c>
      <c r="D17" s="8" t="n">
        <v>35</v>
      </c>
      <c r="E17" s="8" t="n">
        <v>60</v>
      </c>
      <c r="F17" s="8" t="n">
        <f aca="false">(D17+E17)/2</f>
        <v>47.5</v>
      </c>
    </row>
    <row r="18" customFormat="false" ht="30" hidden="false" customHeight="true" outlineLevel="0" collapsed="false">
      <c r="A18" s="9" t="s">
        <v>9</v>
      </c>
      <c r="B18" s="10" t="s">
        <v>35</v>
      </c>
      <c r="C18" s="11" t="s">
        <v>36</v>
      </c>
      <c r="D18" s="12" t="n">
        <v>35</v>
      </c>
      <c r="E18" s="12" t="n">
        <v>60</v>
      </c>
      <c r="F18" s="12" t="n">
        <f aca="false">(D18+E18)/2</f>
        <v>47.5</v>
      </c>
    </row>
    <row r="19" customFormat="false" ht="21.75" hidden="false" customHeight="true" outlineLevel="0" collapsed="false">
      <c r="A19" s="5" t="s">
        <v>9</v>
      </c>
      <c r="B19" s="6" t="s">
        <v>37</v>
      </c>
      <c r="C19" s="7" t="s">
        <v>38</v>
      </c>
      <c r="D19" s="8" t="n">
        <v>8</v>
      </c>
      <c r="E19" s="8" t="n">
        <v>12</v>
      </c>
      <c r="F19" s="8" t="n">
        <f aca="false">(D19+E19)/2</f>
        <v>10</v>
      </c>
    </row>
    <row r="20" customFormat="false" ht="21.75" hidden="false" customHeight="true" outlineLevel="0" collapsed="false">
      <c r="A20" s="9" t="s">
        <v>9</v>
      </c>
      <c r="B20" s="10" t="s">
        <v>39</v>
      </c>
      <c r="C20" s="11" t="s">
        <v>40</v>
      </c>
      <c r="D20" s="12" t="n">
        <v>2</v>
      </c>
      <c r="E20" s="12" t="n">
        <v>5</v>
      </c>
      <c r="F20" s="12" t="n">
        <f aca="false">(D20+E20)/2</f>
        <v>3.5</v>
      </c>
    </row>
    <row r="21" customFormat="false" ht="21.75" hidden="false" customHeight="true" outlineLevel="0" collapsed="false">
      <c r="A21" s="5" t="s">
        <v>41</v>
      </c>
      <c r="B21" s="6" t="s">
        <v>42</v>
      </c>
      <c r="C21" s="7" t="s">
        <v>43</v>
      </c>
      <c r="D21" s="8" t="n">
        <v>6</v>
      </c>
      <c r="E21" s="8" t="n">
        <v>10</v>
      </c>
      <c r="F21" s="8" t="n">
        <f aca="false">(D21+E21)/2</f>
        <v>8</v>
      </c>
    </row>
    <row r="22" customFormat="false" ht="21.75" hidden="false" customHeight="true" outlineLevel="0" collapsed="false">
      <c r="A22" s="9" t="s">
        <v>44</v>
      </c>
      <c r="B22" s="10" t="s">
        <v>45</v>
      </c>
      <c r="C22" s="11" t="s">
        <v>46</v>
      </c>
      <c r="D22" s="12" t="n">
        <v>8</v>
      </c>
      <c r="E22" s="12" t="n">
        <v>12</v>
      </c>
      <c r="F22" s="12" t="n">
        <f aca="false">(D22+E22)/2</f>
        <v>10</v>
      </c>
    </row>
    <row r="23" customFormat="false" ht="18" hidden="false" customHeight="true" outlineLevel="0" collapsed="false">
      <c r="A23" s="4" t="s">
        <v>47</v>
      </c>
      <c r="B23" s="4"/>
      <c r="C23" s="4"/>
      <c r="D23" s="4"/>
      <c r="E23" s="4"/>
      <c r="F23" s="4"/>
    </row>
    <row r="24" customFormat="false" ht="30" hidden="false" customHeight="true" outlineLevel="0" collapsed="false">
      <c r="A24" s="5" t="s">
        <v>9</v>
      </c>
      <c r="B24" s="6" t="s">
        <v>48</v>
      </c>
      <c r="C24" s="7" t="s">
        <v>49</v>
      </c>
      <c r="D24" s="8" t="n">
        <v>12</v>
      </c>
      <c r="E24" s="8" t="n">
        <v>30</v>
      </c>
      <c r="F24" s="8" t="n">
        <f aca="false">(D24+E24)/2</f>
        <v>21</v>
      </c>
    </row>
    <row r="25" customFormat="false" ht="30" hidden="false" customHeight="true" outlineLevel="0" collapsed="false">
      <c r="A25" s="9" t="s">
        <v>50</v>
      </c>
      <c r="B25" s="10" t="s">
        <v>51</v>
      </c>
      <c r="C25" s="11" t="s">
        <v>52</v>
      </c>
      <c r="D25" s="12" t="n">
        <v>2</v>
      </c>
      <c r="E25" s="12" t="n">
        <v>8</v>
      </c>
      <c r="F25" s="12" t="n">
        <f aca="false">(D25+E25)/2</f>
        <v>5</v>
      </c>
    </row>
    <row r="26" customFormat="false" ht="30" hidden="false" customHeight="true" outlineLevel="0" collapsed="false">
      <c r="A26" s="5" t="s">
        <v>9</v>
      </c>
      <c r="B26" s="6" t="s">
        <v>53</v>
      </c>
      <c r="C26" s="7" t="s">
        <v>54</v>
      </c>
      <c r="D26" s="8" t="n">
        <v>20</v>
      </c>
      <c r="E26" s="8" t="n">
        <v>50</v>
      </c>
      <c r="F26" s="8" t="n">
        <f aca="false">(D26+E26)/2</f>
        <v>35</v>
      </c>
    </row>
    <row r="27" customFormat="false" ht="21.75" hidden="false" customHeight="true" outlineLevel="0" collapsed="false">
      <c r="A27" s="9" t="s">
        <v>9</v>
      </c>
      <c r="B27" s="10" t="s">
        <v>55</v>
      </c>
      <c r="C27" s="11" t="s">
        <v>56</v>
      </c>
      <c r="D27" s="12" t="n">
        <v>10</v>
      </c>
      <c r="E27" s="12" t="n">
        <v>15</v>
      </c>
      <c r="F27" s="12" t="n">
        <f aca="false">(D27+E27)/2</f>
        <v>12.5</v>
      </c>
    </row>
    <row r="28" customFormat="false" ht="21.75" hidden="false" customHeight="true" outlineLevel="0" collapsed="false">
      <c r="A28" s="5" t="s">
        <v>9</v>
      </c>
      <c r="B28" s="6" t="s">
        <v>57</v>
      </c>
      <c r="C28" s="7" t="s">
        <v>58</v>
      </c>
      <c r="D28" s="8" t="n">
        <v>8</v>
      </c>
      <c r="E28" s="8" t="n">
        <v>12</v>
      </c>
      <c r="F28" s="8" t="n">
        <f aca="false">(D28+E28)/2</f>
        <v>10</v>
      </c>
    </row>
    <row r="29" customFormat="false" ht="21.75" hidden="false" customHeight="true" outlineLevel="0" collapsed="false">
      <c r="A29" s="9" t="s">
        <v>9</v>
      </c>
      <c r="B29" s="10" t="s">
        <v>59</v>
      </c>
      <c r="C29" s="11" t="s">
        <v>60</v>
      </c>
      <c r="D29" s="12" t="n">
        <v>6</v>
      </c>
      <c r="E29" s="12" t="n">
        <v>10</v>
      </c>
      <c r="F29" s="12" t="n">
        <f aca="false">(D29+E29)/2</f>
        <v>8</v>
      </c>
    </row>
    <row r="30" customFormat="false" ht="18" hidden="false" customHeight="true" outlineLevel="0" collapsed="false">
      <c r="A30" s="13" t="s">
        <v>61</v>
      </c>
      <c r="B30" s="13"/>
      <c r="C30" s="13"/>
      <c r="D30" s="13"/>
      <c r="E30" s="13"/>
      <c r="F30" s="13"/>
    </row>
    <row r="31" customFormat="false" ht="30" hidden="false" customHeight="true" outlineLevel="0" collapsed="false">
      <c r="A31" s="14" t="s">
        <v>62</v>
      </c>
      <c r="B31" s="15" t="s">
        <v>63</v>
      </c>
      <c r="C31" s="16" t="s">
        <v>64</v>
      </c>
      <c r="D31" s="17" t="n">
        <v>0</v>
      </c>
      <c r="E31" s="17" t="n">
        <v>60</v>
      </c>
      <c r="F31" s="17" t="n">
        <f aca="false">(D31+E31)/2</f>
        <v>30</v>
      </c>
    </row>
    <row r="32" customFormat="false" ht="21.75" hidden="false" customHeight="true" outlineLevel="0" collapsed="false">
      <c r="A32" s="18" t="s">
        <v>62</v>
      </c>
      <c r="B32" s="19" t="s">
        <v>65</v>
      </c>
      <c r="C32" s="20" t="s">
        <v>66</v>
      </c>
      <c r="D32" s="21" t="n">
        <v>0</v>
      </c>
      <c r="E32" s="21" t="n">
        <v>40</v>
      </c>
      <c r="F32" s="21" t="n">
        <f aca="false">(D32+E32)/2</f>
        <v>20</v>
      </c>
    </row>
    <row r="33" customFormat="false" ht="21.75" hidden="false" customHeight="true" outlineLevel="0" collapsed="false">
      <c r="A33" s="14" t="s">
        <v>62</v>
      </c>
      <c r="B33" s="15" t="s">
        <v>67</v>
      </c>
      <c r="C33" s="16" t="s">
        <v>68</v>
      </c>
      <c r="D33" s="17" t="n">
        <v>5</v>
      </c>
      <c r="E33" s="17" t="n">
        <v>15</v>
      </c>
      <c r="F33" s="17" t="n">
        <f aca="false">(D33+E33)/2</f>
        <v>10</v>
      </c>
    </row>
    <row r="34" customFormat="false" ht="21.75" hidden="false" customHeight="true" outlineLevel="0" collapsed="false">
      <c r="A34" s="18" t="s">
        <v>62</v>
      </c>
      <c r="B34" s="19" t="s">
        <v>69</v>
      </c>
      <c r="C34" s="20" t="s">
        <v>70</v>
      </c>
      <c r="D34" s="21" t="n">
        <v>0</v>
      </c>
      <c r="E34" s="21" t="n">
        <v>20</v>
      </c>
      <c r="F34" s="21" t="n">
        <f aca="false">(D34+E34)/2</f>
        <v>10</v>
      </c>
    </row>
    <row r="35" customFormat="false" ht="21.75" hidden="false" customHeight="true" outlineLevel="0" collapsed="false">
      <c r="A35" s="14" t="s">
        <v>62</v>
      </c>
      <c r="B35" s="15" t="s">
        <v>71</v>
      </c>
      <c r="C35" s="16" t="s">
        <v>72</v>
      </c>
      <c r="D35" s="17" t="n">
        <v>5</v>
      </c>
      <c r="E35" s="17" t="n">
        <v>20</v>
      </c>
      <c r="F35" s="17" t="n">
        <f aca="false">(D35+E35)/2</f>
        <v>12.5</v>
      </c>
    </row>
    <row r="37" customFormat="false" ht="19.5" hidden="false" customHeight="true" outlineLevel="0" collapsed="false">
      <c r="A37" s="22" t="s">
        <v>73</v>
      </c>
      <c r="B37" s="22"/>
      <c r="C37" s="22"/>
      <c r="D37" s="23" t="s">
        <v>5</v>
      </c>
      <c r="E37" s="23" t="s">
        <v>6</v>
      </c>
      <c r="F37" s="23" t="s">
        <v>74</v>
      </c>
    </row>
    <row r="38" customFormat="false" ht="18" hidden="false" customHeight="true" outlineLevel="0" collapsed="false">
      <c r="A38" s="24" t="s">
        <v>75</v>
      </c>
      <c r="B38" s="24"/>
      <c r="C38" s="24"/>
      <c r="D38" s="25" t="n">
        <f aca="false">SUM(D5:D15)</f>
        <v>167.5</v>
      </c>
      <c r="E38" s="25" t="n">
        <f aca="false">SUM(E5:E15)</f>
        <v>269</v>
      </c>
      <c r="F38" s="25" t="n">
        <f aca="false">SUM(F5:F15)</f>
        <v>218.25</v>
      </c>
    </row>
    <row r="39" customFormat="false" ht="18" hidden="false" customHeight="true" outlineLevel="0" collapsed="false">
      <c r="A39" s="24" t="s">
        <v>76</v>
      </c>
      <c r="B39" s="24"/>
      <c r="C39" s="24"/>
      <c r="D39" s="25" t="n">
        <f aca="false">SUM(D17:D22)</f>
        <v>94</v>
      </c>
      <c r="E39" s="25" t="n">
        <f aca="false">SUM(E17:E22)</f>
        <v>159</v>
      </c>
      <c r="F39" s="25" t="n">
        <f aca="false">SUM(F17:F22)</f>
        <v>126.5</v>
      </c>
    </row>
    <row r="40" customFormat="false" ht="18" hidden="false" customHeight="true" outlineLevel="0" collapsed="false">
      <c r="A40" s="24" t="s">
        <v>77</v>
      </c>
      <c r="B40" s="24"/>
      <c r="C40" s="24"/>
      <c r="D40" s="25" t="n">
        <f aca="false">SUM(D24:D29)</f>
        <v>58</v>
      </c>
      <c r="E40" s="25" t="n">
        <f aca="false">SUM(E24:E29)</f>
        <v>125</v>
      </c>
      <c r="F40" s="25" t="n">
        <f aca="false">SUM(F24:F29)</f>
        <v>91.5</v>
      </c>
    </row>
    <row r="41" customFormat="false" ht="18" hidden="false" customHeight="true" outlineLevel="0" collapsed="false">
      <c r="A41" s="26" t="s">
        <v>78</v>
      </c>
      <c r="B41" s="26"/>
      <c r="C41" s="26"/>
      <c r="D41" s="27" t="n">
        <f aca="false">SUM(D31:D35)</f>
        <v>10</v>
      </c>
      <c r="E41" s="27" t="n">
        <f aca="false">SUM(E31:E35)</f>
        <v>155</v>
      </c>
      <c r="F41" s="27" t="n">
        <f aca="false">SUM(F31:F35)</f>
        <v>82.5</v>
      </c>
    </row>
    <row r="42" customFormat="false" ht="21.75" hidden="false" customHeight="true" outlineLevel="0" collapsed="false">
      <c r="A42" s="28" t="s">
        <v>79</v>
      </c>
      <c r="B42" s="28"/>
      <c r="C42" s="28"/>
      <c r="D42" s="29" t="n">
        <f aca="false">D38+D39+D40</f>
        <v>319.5</v>
      </c>
      <c r="E42" s="29" t="n">
        <f aca="false">E38+E39+E40</f>
        <v>553</v>
      </c>
      <c r="F42" s="29" t="n">
        <f aca="false">F38+F39+F40</f>
        <v>436.25</v>
      </c>
    </row>
    <row r="43" customFormat="false" ht="21.75" hidden="false" customHeight="true" outlineLevel="0" collapsed="false">
      <c r="A43" s="30" t="s">
        <v>80</v>
      </c>
      <c r="B43" s="30"/>
      <c r="C43" s="30"/>
      <c r="D43" s="31" t="n">
        <f aca="false">D42+D41</f>
        <v>329.5</v>
      </c>
      <c r="E43" s="31" t="n">
        <f aca="false">E42+E41</f>
        <v>708</v>
      </c>
      <c r="F43" s="31" t="n">
        <f aca="false">F42+F41</f>
        <v>518.75</v>
      </c>
    </row>
    <row r="45" customFormat="false" ht="27.75" hidden="false" customHeight="true" outlineLevel="0" collapsed="false">
      <c r="A45" s="32" t="s">
        <v>81</v>
      </c>
      <c r="B45" s="32"/>
      <c r="C45" s="32"/>
      <c r="D45" s="32"/>
      <c r="E45" s="32"/>
      <c r="F45" s="32"/>
    </row>
    <row r="46" customFormat="false" ht="27.75" hidden="false" customHeight="true" outlineLevel="0" collapsed="false">
      <c r="A46" s="32" t="s">
        <v>82</v>
      </c>
      <c r="B46" s="32"/>
      <c r="C46" s="32"/>
      <c r="D46" s="32"/>
      <c r="E46" s="32"/>
      <c r="F46" s="32"/>
    </row>
    <row r="47" customFormat="false" ht="27.75" hidden="false" customHeight="true" outlineLevel="0" collapsed="false">
      <c r="A47" s="33" t="s">
        <v>83</v>
      </c>
      <c r="B47" s="33"/>
      <c r="C47" s="33"/>
      <c r="D47" s="33"/>
      <c r="E47" s="33"/>
      <c r="F47" s="33"/>
    </row>
    <row r="48" customFormat="false" ht="27.75" hidden="false" customHeight="true" outlineLevel="0" collapsed="false">
      <c r="A48" s="33" t="s">
        <v>84</v>
      </c>
      <c r="B48" s="33"/>
      <c r="C48" s="33"/>
      <c r="D48" s="33"/>
      <c r="E48" s="33"/>
      <c r="F48" s="33"/>
    </row>
  </sheetData>
  <mergeCells count="17">
    <mergeCell ref="A1:F1"/>
    <mergeCell ref="A2:F2"/>
    <mergeCell ref="A4:F4"/>
    <mergeCell ref="A16:F16"/>
    <mergeCell ref="A23:F23"/>
    <mergeCell ref="A30:F30"/>
    <mergeCell ref="A37:C37"/>
    <mergeCell ref="A38:C38"/>
    <mergeCell ref="A39:C39"/>
    <mergeCell ref="A40:C40"/>
    <mergeCell ref="A41:C41"/>
    <mergeCell ref="A42:C42"/>
    <mergeCell ref="A43:C43"/>
    <mergeCell ref="A45:F45"/>
    <mergeCell ref="A46:F46"/>
    <mergeCell ref="A47:F47"/>
    <mergeCell ref="A48:F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2026-05-24T11:16:02Z</dcterms:created>
  <dc:creator>openpyxl</dc:creator>
  <dc:description/>
  <dc:language>en-US</dc:language>
  <cp:lastModifiedBy/>
  <dcterms:modified xsi:type="dcterms:W3CDTF">2026-05-24T11:16:02Z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